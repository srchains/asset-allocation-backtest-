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Year by year" sheetId="4" state="visible" r:id="rId4"/>
    <sheet xmlns:r="http://schemas.openxmlformats.org/officeDocument/2006/relationships" name="Asset tracker" sheetId="5" state="visible" r:id="rId5"/>
    <sheet xmlns:r="http://schemas.openxmlformats.org/officeDocument/2006/relationships" name="Rebalance year by year" sheetId="6" state="visible" r:id="rId6"/>
    <sheet xmlns:r="http://schemas.openxmlformats.org/officeDocument/2006/relationships" name="Year-end comparison" sheetId="7" state="visible" r:id="rId7"/>
    <sheet xmlns:r="http://schemas.openxmlformats.org/officeDocument/2006/relationships" name="Bonds calculation" sheetId="8" state="visible" r:id="rId8"/>
    <sheet xmlns:r="http://schemas.openxmlformats.org/officeDocument/2006/relationships" name="Gold 1995-2005" sheetId="9" state="visible" r:id="rId9"/>
    <sheet xmlns:r="http://schemas.openxmlformats.org/officeDocument/2006/relationships" name="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&quot; Dec&quot;"/>
    <numFmt numFmtId="166" formatCode="0&quot; Sep&quot;"/>
    <numFmt numFmtId="167" formatCode="+#,##0.00;-#,##0.00;0.00"/>
    <numFmt numFmtId="168" formatCode="+#,##0;-#,##0;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color rgb="000000FF"/>
    </font>
    <font>
      <name val="Arial"/>
      <b val="1"/>
    </font>
    <font>
      <name val="Arial"/>
    </font>
    <font>
      <name val="Arial"/>
      <i val="1"/>
    </font>
    <font>
      <name val="Arial"/>
      <b val="1"/>
      <color rgb="00C0000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FFFF00"/>
      </patternFill>
    </fill>
    <fill>
      <patternFill patternType="solid">
        <fgColor rgb="001B2A4A"/>
      </patternFill>
    </fill>
    <fill>
      <patternFill patternType="solid">
        <fgColor rgb="0000B050"/>
      </patternFill>
    </fill>
    <fill>
      <patternFill patternType="solid">
        <fgColor rgb="001F2A6B"/>
      </patternFill>
    </fill>
    <fill>
      <patternFill patternType="solid">
        <fgColor rgb="000E7C86"/>
      </patternFill>
    </fill>
    <fill>
      <patternFill patternType="solid">
        <fgColor rgb="007C8291"/>
      </patternFill>
    </fill>
    <fill>
      <patternFill patternType="solid">
        <fgColor rgb="00A6A6A6"/>
      </patternFill>
    </fill>
    <fill>
      <patternFill patternType="solid">
        <fgColor rgb="00F3F6FB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4" fillId="3" borderId="0" pivotButton="0" quotePrefix="0" xfId="0"/>
    <xf numFmtId="2" fontId="4" fillId="3" borderId="0" pivotButton="0" quotePrefix="0" xfId="0"/>
    <xf numFmtId="2" fontId="0" fillId="0" borderId="0" pivotButton="0" quotePrefix="0" xfId="0"/>
    <xf numFmtId="0" fontId="4" fillId="3" borderId="0" pivotButton="0" quotePrefix="0" xfId="0"/>
    <xf numFmtId="3" fontId="5" fillId="0" borderId="0" pivotButton="0" quotePrefix="0" xfId="0"/>
    <xf numFmtId="3" fontId="6" fillId="0" borderId="0" pivotButton="0" quotePrefix="0" xfId="0"/>
    <xf numFmtId="10" fontId="6" fillId="0" borderId="0" pivotButton="0" quotePrefix="0" xfId="0"/>
    <xf numFmtId="10" fontId="0" fillId="0" borderId="0" pivotButton="0" quotePrefix="0" xfId="0"/>
    <xf numFmtId="0" fontId="5" fillId="2" borderId="0" applyAlignment="1" pivotButton="0" quotePrefix="0" xfId="0">
      <alignment vertical="top" wrapText="1"/>
    </xf>
    <xf numFmtId="164" fontId="6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3" fontId="0" fillId="0" borderId="0" pivotButton="0" quotePrefix="0" xfId="0"/>
    <xf numFmtId="4" fontId="6" fillId="0" borderId="0" pivotButton="0" quotePrefix="0" xfId="0"/>
    <xf numFmtId="167" fontId="6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2" fontId="4" fillId="0" borderId="0" pivotButton="0" quotePrefix="0" xfId="0"/>
    <xf numFmtId="4" fontId="4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4" fontId="5" fillId="0" borderId="0" pivotButton="0" quotePrefix="0" xfId="0"/>
    <xf numFmtId="168" fontId="5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168" fontId="6" fillId="0" borderId="0" pivotButton="0" quotePrefix="0" xfId="0"/>
    <xf numFmtId="0" fontId="9" fillId="9" borderId="0" applyAlignment="1" pivotButton="0" quotePrefix="0" xfId="0">
      <alignment horizontal="center" vertical="center" wrapText="1"/>
    </xf>
    <xf numFmtId="3" fontId="5" fillId="11" borderId="0" pivotButton="0" quotePrefix="0" xfId="0"/>
    <xf numFmtId="4" fontId="5" fillId="11" borderId="0" pivotButton="0" quotePrefix="0" xfId="0"/>
    <xf numFmtId="167" fontId="5" fillId="11" borderId="0" pivotButton="0" quotePrefix="0" xfId="0"/>
    <xf numFmtId="168" fontId="5" fillId="11" borderId="0" pivotButton="0" quotePrefix="0" xfId="0"/>
    <xf numFmtId="10" fontId="5" fillId="11" borderId="0" pivotButton="0" quotePrefix="0" xfId="0"/>
    <xf numFmtId="2" fontId="5" fillId="11" borderId="0" pivotButton="0" quotePrefix="0" xfId="0"/>
    <xf numFmtId="1" fontId="5" fillId="11" borderId="0" pivotButton="0" quotePrefix="0" xfId="0"/>
    <xf numFmtId="167" fontId="6" fillId="10" borderId="0" pivotButton="0" quotePrefix="0" xfId="0"/>
    <xf numFmtId="168" fontId="6" fillId="10" borderId="0" pivotButton="0" quotePrefix="0" xfId="0"/>
    <xf numFmtId="1" fontId="6" fillId="0" borderId="0" pivotButton="0" quotePrefix="0" xfId="0"/>
    <xf numFmtId="1" fontId="5" fillId="0" borderId="0" pivotButton="0" quotePrefix="0" xfId="0"/>
    <xf numFmtId="0" fontId="9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Asset Allocation - month by month</t>
        </is>
      </c>
    </row>
    <row r="2">
      <c r="A2" s="2" t="inlineStr"/>
    </row>
    <row r="3">
      <c r="A3" s="3" t="inlineStr">
        <is>
          <t>THE IDEA</t>
        </is>
      </c>
    </row>
    <row r="4">
      <c r="A4" s="2" t="inlineStr">
        <is>
          <t>You put your capital into Nifty, Gold, Bonds and Cash ONCE, at the month-end close of December 1995, and never sell. Every month each part grows with its own price or rate. The sheet runs month by month from 1996-01 to the last complete month.</t>
        </is>
      </c>
    </row>
    <row r="5">
      <c r="A5" s="2" t="inlineStr"/>
    </row>
    <row r="6">
      <c r="A6" s="3" t="inlineStr">
        <is>
          <t>STEPS</t>
        </is>
      </c>
    </row>
    <row r="7">
      <c r="A7" s="2" t="inlineStr">
        <is>
          <t>1. Nifty x = Nifty month-end close / the December 1995 close. Gold x works the same with the gold price in Rs per gram (India rate, incl. 3% GST).</t>
        </is>
      </c>
    </row>
    <row r="8">
      <c r="A8" s="2" t="inlineStr">
        <is>
          <t>2. Gold before 2005-06 comes from the 'Gold 1995-2005' sheet: the GOLDINR month-end close x a matching factor (MCX / GOLDINR on 2005-06-30); from 2005-06 the MCX month-end close / 10. Both x 1.03 GST (cell Data!P1), a constant, so it changes no return. The API's MCX price is frozen from 2020-03-20 to 2020-06-02, so the Mar / Apr / May 2020 month-ends are estimates (see the Note column in 'Data').</t>
        </is>
      </c>
    </row>
    <row r="9">
      <c r="A9" s="2" t="inlineStr">
        <is>
          <t>3. Bonds: one return per year, Jan to Dec (sheet 'Bonds calculation'), added once in December; the other months are 0%. Until 2011 the return is the SBI year-end FD rate (9.00% applied to 1996-98); 2012-2014 use the 2011 rate (9.25%); from 2015 it is the move of the NIFTY Composite G-sec Index (December / last December - 1). 2026 runs from the 2025 December close to the last complete month and is added in that month. Bonds x = previous Bonds x x (1 + the month's return).</t>
        </is>
      </c>
    </row>
    <row r="10">
      <c r="A10" s="2" t="inlineStr">
        <is>
          <t>4. Cash x is always 1 (hand cash earns nothing).</t>
        </is>
      </c>
    </row>
    <row r="11">
      <c r="A11" s="2" t="inlineStr">
        <is>
          <t>5. Each part's value = money put in x its x. Portfolio = Nifty part + Gold part + Bonds part + Cash part (sheet 'Monthly').</t>
        </is>
      </c>
    </row>
    <row r="12">
      <c r="A12" s="2" t="inlineStr">
        <is>
          <t>6. Inflation: the year's annual CPI rate (TradeEntry API; 2026 repeats the 2025 rate because the API has no 2026 value yet) as an equal monthly rate. Inflation x = previous x x (1 + annual/100)^(1/12). Value after inflation = Portfolio / Inflation x.</t>
        </is>
      </c>
    </row>
    <row r="13">
      <c r="A13" s="2" t="inlineStr">
        <is>
          <t>7. Drawdown = Portfolio / highest earlier Portfolio - 1. 'Year by year' shows the December value of each year (2026: the last month).</t>
        </is>
      </c>
    </row>
    <row r="14">
      <c r="A14" s="2" t="inlineStr">
        <is>
          <t>8. Rebalance year by year sheet: every December each part's share of the portfolio is compared with its target %; if any is more than the tolerance (B2, default 5 points; 0 = every year) away, ALL parts are reset to the target % (sell what grew too much, buy what fell behind); otherwise nothing is traded. Nifty shares and gold grams change only in those Decembers.</t>
        </is>
      </c>
    </row>
    <row r="15">
      <c r="A15" s="2" t="inlineStr"/>
    </row>
    <row r="16">
      <c r="A16" s="3" t="inlineStr">
        <is>
          <t>SHEETS</t>
        </is>
      </c>
    </row>
    <row r="17">
      <c r="A17" s="2" t="inlineStr">
        <is>
          <t>Calculator       inputs (yellow) and the results at any month.</t>
        </is>
      </c>
    </row>
    <row r="18">
      <c r="A18" s="2" t="inlineStr">
        <is>
          <t>Monthly          the main calculation, one row per month.</t>
        </is>
      </c>
    </row>
    <row r="19">
      <c r="A19" s="2" t="inlineStr">
        <is>
          <t>Year by year     what you bought at the Dec 1995 close (first row), then the December value of each year (2026: last month), return, inflation, average per year.</t>
        </is>
      </c>
    </row>
    <row r="20">
      <c r="A20" s="2" t="inlineStr">
        <is>
          <t>Asset tracker    what you hold in Nifty, Gold, Bonds and Cash, starting with the 1995 Dec closing price and shares / grams bought, then each year: value, target value, buy / sell, annual return, peak, drawdown, CAGR.</t>
        </is>
      </c>
    </row>
    <row r="21">
      <c r="A21" s="2" t="inlineStr">
        <is>
          <t>Rebalance year by year  the app's Rebalance page as a sheet: 1995 Dec buy, then every December the amount in each asset, the buy / sell (Nifty shares, gold grams at that close), the amount and shares after, return, inflation and the value without rebalancing. Year-end comparison: buy and hold vs with rebalancing, every December.</t>
        </is>
      </c>
    </row>
    <row r="22">
      <c r="A22" s="2" t="inlineStr">
        <is>
          <t>Bonds calculation  the Bonds return of each year worked out step by step.</t>
        </is>
      </c>
    </row>
    <row r="23">
      <c r="A23" s="2" t="inlineStr">
        <is>
          <t>Gold 1995-2005   gold before MCX: December GOLDINR closes matched to MCX, months in between.</t>
        </is>
      </c>
    </row>
    <row r="24">
      <c r="A24" s="2" t="inlineStr">
        <is>
          <t>Data             every price and rate used (blue) with its date and source.</t>
        </is>
      </c>
    </row>
    <row r="25">
      <c r="A25" s="2" t="inlineStr"/>
    </row>
    <row r="26">
      <c r="A26" s="2" t="inlineStr">
        <is>
          <t>All data comes from the TradeEntry API (tradeentry.in): Nifty, MCX Gold, GOLDINR, SBI FD rate, NIFTY Composite G-sec Index, India CPI inflation. Midcap and Smallcap are hidden in the app (0%) and are not in this workbook.</t>
        </is>
      </c>
    </row>
    <row r="27">
      <c r="A27" s="2" t="inlineStr">
        <is>
          <t>Colors: blue text = data, black = formula, yellow cell = you change it. Rupee values have no decimals, other numbers 2 decimals.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22" customWidth="1" min="4" max="4"/>
    <col width="26" customWidth="1" min="5" max="5"/>
  </cols>
  <sheetData>
    <row r="1">
      <c r="A1" s="4" t="inlineStr">
        <is>
          <t>Calculator - month by month</t>
        </is>
      </c>
    </row>
    <row r="3">
      <c r="A3" s="5" t="inlineStr">
        <is>
          <t>INPUTS</t>
        </is>
      </c>
    </row>
    <row r="4">
      <c r="A4" s="6" t="inlineStr">
        <is>
          <t>Total capital (Rs)</t>
        </is>
      </c>
      <c r="B4" s="7" t="n">
        <v>200000</v>
      </c>
    </row>
    <row r="5">
      <c r="A5" s="6" t="inlineStr">
        <is>
          <t>Nifty %</t>
        </is>
      </c>
      <c r="B5" s="8" t="n">
        <v>50</v>
      </c>
    </row>
    <row r="6">
      <c r="A6" s="6" t="inlineStr">
        <is>
          <t>Gold %</t>
        </is>
      </c>
      <c r="B6" s="8" t="n">
        <v>30</v>
      </c>
    </row>
    <row r="7">
      <c r="A7" s="6" t="inlineStr">
        <is>
          <t>Bonds %</t>
        </is>
      </c>
      <c r="B7" s="8" t="n">
        <v>15</v>
      </c>
    </row>
    <row r="8">
      <c r="A8" t="inlineStr">
        <is>
          <t>Cash % (auto = 100 minus the others)</t>
        </is>
      </c>
      <c r="B8" s="9">
        <f>100-B5-B6-B7</f>
        <v/>
      </c>
      <c r="C8" s="31">
        <f>IF(B8&lt;0,"Weights add up to more than 100% - lower Nifty / Gold / Bonds","")</f>
        <v/>
      </c>
    </row>
    <row r="9">
      <c r="A9" t="inlineStr">
        <is>
          <t>Show values at month (YYYY-MM)</t>
        </is>
      </c>
      <c r="B9" s="10" t="inlineStr">
        <is>
          <t>2026-09</t>
        </is>
      </c>
    </row>
    <row r="10">
      <c r="A10" t="inlineStr">
        <is>
          <t>Row of that month in Monthly</t>
        </is>
      </c>
      <c r="B10">
        <f>MATCH(B9,Monthly!$A$1:$A$500,0)</f>
        <v/>
      </c>
    </row>
    <row r="11">
      <c r="A11" t="inlineStr">
        <is>
          <t>Months held</t>
        </is>
      </c>
      <c r="B11">
        <f>B10-5</f>
        <v/>
      </c>
    </row>
    <row r="12">
      <c r="A12" t="inlineStr">
        <is>
          <t>Years held</t>
        </is>
      </c>
      <c r="B12" s="9">
        <f>B11/12</f>
        <v/>
      </c>
    </row>
    <row r="14">
      <c r="A14" s="5" t="inlineStr">
        <is>
          <t>RESULTS</t>
        </is>
      </c>
    </row>
    <row r="15">
      <c r="A15" s="6" t="inlineStr">
        <is>
          <t>Portfolio value Rs</t>
        </is>
      </c>
      <c r="B15" s="11">
        <f>INDEX(Monthly!$K$1:$K$500,$B$10)</f>
        <v/>
      </c>
    </row>
    <row r="16">
      <c r="A16" s="6" t="inlineStr">
        <is>
          <t>Value after inflation Rs</t>
        </is>
      </c>
      <c r="B16" s="12">
        <f>INDEX(Monthly!$L$1:$L$500,$B$10)</f>
        <v/>
      </c>
    </row>
    <row r="17">
      <c r="A17" s="6" t="inlineStr">
        <is>
          <t>Nifty part Rs</t>
        </is>
      </c>
      <c r="B17" s="12">
        <f>INDEX(Monthly!$G$1:$G$500,$B$10)</f>
        <v/>
      </c>
    </row>
    <row r="18">
      <c r="A18" s="6" t="inlineStr">
        <is>
          <t>Gold part Rs</t>
        </is>
      </c>
      <c r="B18" s="12">
        <f>INDEX(Monthly!$H$1:$H$500,$B$10)</f>
        <v/>
      </c>
    </row>
    <row r="19">
      <c r="A19" s="6" t="inlineStr">
        <is>
          <t>Bonds part Rs</t>
        </is>
      </c>
      <c r="B19" s="12">
        <f>INDEX(Monthly!$I$1:$I$500,$B$10)</f>
        <v/>
      </c>
    </row>
    <row r="20">
      <c r="A20" s="6" t="inlineStr">
        <is>
          <t>Cash part Rs</t>
        </is>
      </c>
      <c r="B20" s="12">
        <f>INDEX(Monthly!$J$1:$J$500,$B$10)</f>
        <v/>
      </c>
    </row>
    <row r="21">
      <c r="A21" s="6" t="inlineStr">
        <is>
          <t>Worst fall so far (drawdown)</t>
        </is>
      </c>
      <c r="B21" s="13">
        <f>INDEX(Monthly!$N$1:$N$500,$B$10)</f>
        <v/>
      </c>
    </row>
    <row r="22">
      <c r="A22" s="6" t="inlineStr">
        <is>
          <t>100% in Nifty Rs</t>
        </is>
      </c>
      <c r="B22" s="12">
        <f>INDEX(Monthly!$O$1:$O$500,$B$10)</f>
        <v/>
      </c>
    </row>
    <row r="23">
      <c r="A23" s="6" t="inlineStr">
        <is>
          <t>100% in Gold Rs</t>
        </is>
      </c>
      <c r="B23" s="12">
        <f>INDEX(Monthly!$P$1:$P$500,$B$10)</f>
        <v/>
      </c>
    </row>
    <row r="24">
      <c r="A24" s="6" t="inlineStr">
        <is>
          <t>100% in Bonds Rs</t>
        </is>
      </c>
      <c r="B24" s="12">
        <f>INDEX(Monthly!$Q$1:$Q$500,$B$10)</f>
        <v/>
      </c>
    </row>
    <row r="25">
      <c r="A25" s="6" t="inlineStr">
        <is>
          <t>Inflation: Rs needed to keep up</t>
        </is>
      </c>
      <c r="B25" s="12">
        <f>INDEX(Monthly!$R$1:$R$500,$B$10)</f>
        <v/>
      </c>
    </row>
    <row r="26">
      <c r="A26" s="6" t="inlineStr">
        <is>
          <t>Growth per year</t>
        </is>
      </c>
      <c r="B26" s="14">
        <f>IF($B$11&gt;0,(B15/$B$4)^(12/$B$11)-1,0)</f>
        <v/>
      </c>
    </row>
    <row r="29">
      <c r="A29" s="5" t="inlineStr">
        <is>
          <t>WHAT YOU BOUGHT AT THE START (Dec 1995 close)</t>
        </is>
      </c>
    </row>
    <row r="30">
      <c r="B30" s="5" t="inlineStr">
        <is>
          <t>Money put in Rs</t>
        </is>
      </c>
      <c r="C30" s="5" t="inlineStr">
        <is>
          <t>Price at the start</t>
        </is>
      </c>
      <c r="D30" s="5" t="inlineStr">
        <is>
          <t>Shares / grams bought</t>
        </is>
      </c>
      <c r="E30" s="5" t="inlineStr">
        <is>
          <t>Worth at the month shown Rs</t>
        </is>
      </c>
    </row>
    <row r="31">
      <c r="A31" s="6" t="inlineStr">
        <is>
          <t>Nifty (shares)</t>
        </is>
      </c>
      <c r="B31" s="12">
        <f>$B$4*$B$5/100</f>
        <v/>
      </c>
      <c r="C31" s="22">
        <f>Data!C5</f>
        <v/>
      </c>
      <c r="D31" s="22">
        <f>B31/C31</f>
        <v/>
      </c>
      <c r="E31" s="12">
        <f>D31*INDEX(Data!$C$1:$C$500,$B$10)</f>
        <v/>
      </c>
    </row>
    <row r="32">
      <c r="A32" s="6" t="inlineStr">
        <is>
          <t>Gold (grams, India rate)</t>
        </is>
      </c>
      <c r="B32" s="12">
        <f>$B$4*$B$6/100</f>
        <v/>
      </c>
      <c r="C32" s="22">
        <f>Data!G5</f>
        <v/>
      </c>
      <c r="D32" s="22">
        <f>B32/C32</f>
        <v/>
      </c>
      <c r="E32" s="12">
        <f>D32*INDEX(Data!$G$1:$G$500,$B$10)</f>
        <v/>
      </c>
    </row>
    <row r="33">
      <c r="A33" s="6" t="inlineStr">
        <is>
          <t>Bonds (money, grows with Bonds x)</t>
        </is>
      </c>
      <c r="B33" s="12">
        <f>$B$4*$B$7/100</f>
        <v/>
      </c>
      <c r="E33" s="12">
        <f>INDEX(Monthly!$I$1:$I$500,$B$10)</f>
        <v/>
      </c>
    </row>
    <row r="34">
      <c r="A34" s="6" t="inlineStr">
        <is>
          <t>Cash (stays the same)</t>
        </is>
      </c>
      <c r="B34" s="12">
        <f>$B$4*$B$8/100</f>
        <v/>
      </c>
      <c r="E34" s="12">
        <f>INDEX(Monthly!$J$1:$J$500,$B$10)</f>
        <v/>
      </c>
    </row>
    <row r="35">
      <c r="A35" s="5" t="inlineStr">
        <is>
          <t>Total</t>
        </is>
      </c>
      <c r="B35" s="11">
        <f>SUM(B31:B34)</f>
        <v/>
      </c>
      <c r="E35" s="11">
        <f>SUM(E31:E34)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4" t="inlineStr">
        <is>
          <t>Monthly - every number is a formula</t>
        </is>
      </c>
    </row>
    <row r="4">
      <c r="A4" s="15" t="inlineStr">
        <is>
          <t>Period</t>
        </is>
      </c>
      <c r="B4" s="15" t="inlineStr">
        <is>
          <t>Nifty x</t>
        </is>
      </c>
      <c r="C4" s="15" t="inlineStr">
        <is>
          <t>Gold x</t>
        </is>
      </c>
      <c r="D4" s="15" t="inlineStr">
        <is>
          <t>Bonds x</t>
        </is>
      </c>
      <c r="E4" s="15" t="inlineStr">
        <is>
          <t>Cash x</t>
        </is>
      </c>
      <c r="F4" s="15" t="inlineStr">
        <is>
          <t>Inflation x</t>
        </is>
      </c>
      <c r="G4" s="15" t="inlineStr">
        <is>
          <t>Nifty Rs</t>
        </is>
      </c>
      <c r="H4" s="15" t="inlineStr">
        <is>
          <t>Gold Rs</t>
        </is>
      </c>
      <c r="I4" s="15" t="inlineStr">
        <is>
          <t>Bonds Rs</t>
        </is>
      </c>
      <c r="J4" s="15" t="inlineStr">
        <is>
          <t>Cash Rs</t>
        </is>
      </c>
      <c r="K4" s="15" t="inlineStr">
        <is>
          <t>Portfolio Rs</t>
        </is>
      </c>
      <c r="L4" s="15" t="inlineStr">
        <is>
          <t>After inflation Rs</t>
        </is>
      </c>
      <c r="M4" s="15" t="inlineStr">
        <is>
          <t>Peak Rs</t>
        </is>
      </c>
      <c r="N4" s="15" t="inlineStr">
        <is>
          <t>Drawdown</t>
        </is>
      </c>
      <c r="O4" s="15" t="inlineStr">
        <is>
          <t>100% Nifty Rs</t>
        </is>
      </c>
      <c r="P4" s="15" t="inlineStr">
        <is>
          <t>100% Gold Rs</t>
        </is>
      </c>
      <c r="Q4" s="15" t="inlineStr">
        <is>
          <t>100% Bonds Rs</t>
        </is>
      </c>
      <c r="R4" s="15" t="inlineStr">
        <is>
          <t>Inflation Rs</t>
        </is>
      </c>
    </row>
    <row r="5">
      <c r="A5" s="6">
        <f>Data!A5</f>
        <v/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2">
        <f>Calculator!$B$4*Calculator!$B$5/100*B5</f>
        <v/>
      </c>
      <c r="H5" s="12">
        <f>Calculator!$B$4*Calculator!$B$6/100*C5</f>
        <v/>
      </c>
      <c r="I5" s="12">
        <f>Calculator!$B$4*Calculator!$B$7/100*D5</f>
        <v/>
      </c>
      <c r="J5" s="12">
        <f>Calculator!$B$4*Calculator!$B$8/100*E5</f>
        <v/>
      </c>
      <c r="K5" s="12">
        <f>SUM(G5:J5)</f>
        <v/>
      </c>
      <c r="L5" s="12">
        <f>K5/F5</f>
        <v/>
      </c>
      <c r="M5" s="12">
        <f>Calculator!$B$4</f>
        <v/>
      </c>
      <c r="N5" s="13">
        <f>K5/M5-1</f>
        <v/>
      </c>
      <c r="O5" s="12">
        <f>Calculator!$B$4*B5</f>
        <v/>
      </c>
      <c r="P5" s="12">
        <f>Calculator!$B$4*C5</f>
        <v/>
      </c>
      <c r="Q5" s="12">
        <f>Calculator!$B$4*D5</f>
        <v/>
      </c>
      <c r="R5" s="12">
        <f>Calculator!$B$4*F5</f>
        <v/>
      </c>
    </row>
    <row r="6">
      <c r="A6" s="6">
        <f>Data!A6</f>
        <v/>
      </c>
      <c r="B6" s="16">
        <f>Data!C6/Data!$C$5</f>
        <v/>
      </c>
      <c r="C6" s="16">
        <f>Data!G6/Data!$G$5</f>
        <v/>
      </c>
      <c r="D6" s="16">
        <f>D5*(1+Data!I6/100)</f>
        <v/>
      </c>
      <c r="E6" s="16" t="n">
        <v>1</v>
      </c>
      <c r="F6" s="16">
        <f>F5*(1+Data!H6/100)^(1/12)</f>
        <v/>
      </c>
      <c r="G6" s="12">
        <f>Calculator!$B$4*Calculator!$B$5/100*B6</f>
        <v/>
      </c>
      <c r="H6" s="12">
        <f>Calculator!$B$4*Calculator!$B$6/100*C6</f>
        <v/>
      </c>
      <c r="I6" s="12">
        <f>Calculator!$B$4*Calculator!$B$7/100*D6</f>
        <v/>
      </c>
      <c r="J6" s="12">
        <f>Calculator!$B$4*Calculator!$B$8/100*E6</f>
        <v/>
      </c>
      <c r="K6" s="12">
        <f>SUM(G6:J6)</f>
        <v/>
      </c>
      <c r="L6" s="12">
        <f>K6/F6</f>
        <v/>
      </c>
      <c r="M6" s="12">
        <f>MAX(M5,K6)</f>
        <v/>
      </c>
      <c r="N6" s="13">
        <f>K6/M6-1</f>
        <v/>
      </c>
      <c r="O6" s="12">
        <f>Calculator!$B$4*B6</f>
        <v/>
      </c>
      <c r="P6" s="12">
        <f>Calculator!$B$4*C6</f>
        <v/>
      </c>
      <c r="Q6" s="12">
        <f>Calculator!$B$4*D6</f>
        <v/>
      </c>
      <c r="R6" s="12">
        <f>Calculator!$B$4*F6</f>
        <v/>
      </c>
    </row>
    <row r="7">
      <c r="A7" s="6">
        <f>Data!A7</f>
        <v/>
      </c>
      <c r="B7" s="16">
        <f>Data!C7/Data!$C$5</f>
        <v/>
      </c>
      <c r="C7" s="16">
        <f>Data!G7/Data!$G$5</f>
        <v/>
      </c>
      <c r="D7" s="16">
        <f>D6*(1+Data!I7/100)</f>
        <v/>
      </c>
      <c r="E7" s="16" t="n">
        <v>1</v>
      </c>
      <c r="F7" s="16">
        <f>F6*(1+Data!H7/100)^(1/12)</f>
        <v/>
      </c>
      <c r="G7" s="12">
        <f>Calculator!$B$4*Calculator!$B$5/100*B7</f>
        <v/>
      </c>
      <c r="H7" s="12">
        <f>Calculator!$B$4*Calculator!$B$6/100*C7</f>
        <v/>
      </c>
      <c r="I7" s="12">
        <f>Calculator!$B$4*Calculator!$B$7/100*D7</f>
        <v/>
      </c>
      <c r="J7" s="12">
        <f>Calculator!$B$4*Calculator!$B$8/100*E7</f>
        <v/>
      </c>
      <c r="K7" s="12">
        <f>SUM(G7:J7)</f>
        <v/>
      </c>
      <c r="L7" s="12">
        <f>K7/F7</f>
        <v/>
      </c>
      <c r="M7" s="12">
        <f>MAX(M6,K7)</f>
        <v/>
      </c>
      <c r="N7" s="13">
        <f>K7/M7-1</f>
        <v/>
      </c>
      <c r="O7" s="12">
        <f>Calculator!$B$4*B7</f>
        <v/>
      </c>
      <c r="P7" s="12">
        <f>Calculator!$B$4*C7</f>
        <v/>
      </c>
      <c r="Q7" s="12">
        <f>Calculator!$B$4*D7</f>
        <v/>
      </c>
      <c r="R7" s="12">
        <f>Calculator!$B$4*F7</f>
        <v/>
      </c>
    </row>
    <row r="8">
      <c r="A8" s="6">
        <f>Data!A8</f>
        <v/>
      </c>
      <c r="B8" s="16">
        <f>Data!C8/Data!$C$5</f>
        <v/>
      </c>
      <c r="C8" s="16">
        <f>Data!G8/Data!$G$5</f>
        <v/>
      </c>
      <c r="D8" s="16">
        <f>D7*(1+Data!I8/100)</f>
        <v/>
      </c>
      <c r="E8" s="16" t="n">
        <v>1</v>
      </c>
      <c r="F8" s="16">
        <f>F7*(1+Data!H8/100)^(1/12)</f>
        <v/>
      </c>
      <c r="G8" s="12">
        <f>Calculator!$B$4*Calculator!$B$5/100*B8</f>
        <v/>
      </c>
      <c r="H8" s="12">
        <f>Calculator!$B$4*Calculator!$B$6/100*C8</f>
        <v/>
      </c>
      <c r="I8" s="12">
        <f>Calculator!$B$4*Calculator!$B$7/100*D8</f>
        <v/>
      </c>
      <c r="J8" s="12">
        <f>Calculator!$B$4*Calculator!$B$8/100*E8</f>
        <v/>
      </c>
      <c r="K8" s="12">
        <f>SUM(G8:J8)</f>
        <v/>
      </c>
      <c r="L8" s="12">
        <f>K8/F8</f>
        <v/>
      </c>
      <c r="M8" s="12">
        <f>MAX(M7,K8)</f>
        <v/>
      </c>
      <c r="N8" s="13">
        <f>K8/M8-1</f>
        <v/>
      </c>
      <c r="O8" s="12">
        <f>Calculator!$B$4*B8</f>
        <v/>
      </c>
      <c r="P8" s="12">
        <f>Calculator!$B$4*C8</f>
        <v/>
      </c>
      <c r="Q8" s="12">
        <f>Calculator!$B$4*D8</f>
        <v/>
      </c>
      <c r="R8" s="12">
        <f>Calculator!$B$4*F8</f>
        <v/>
      </c>
    </row>
    <row r="9">
      <c r="A9" s="6">
        <f>Data!A9</f>
        <v/>
      </c>
      <c r="B9" s="16">
        <f>Data!C9/Data!$C$5</f>
        <v/>
      </c>
      <c r="C9" s="16">
        <f>Data!G9/Data!$G$5</f>
        <v/>
      </c>
      <c r="D9" s="16">
        <f>D8*(1+Data!I9/100)</f>
        <v/>
      </c>
      <c r="E9" s="16" t="n">
        <v>1</v>
      </c>
      <c r="F9" s="16">
        <f>F8*(1+Data!H9/100)^(1/12)</f>
        <v/>
      </c>
      <c r="G9" s="12">
        <f>Calculator!$B$4*Calculator!$B$5/100*B9</f>
        <v/>
      </c>
      <c r="H9" s="12">
        <f>Calculator!$B$4*Calculator!$B$6/100*C9</f>
        <v/>
      </c>
      <c r="I9" s="12">
        <f>Calculator!$B$4*Calculator!$B$7/100*D9</f>
        <v/>
      </c>
      <c r="J9" s="12">
        <f>Calculator!$B$4*Calculator!$B$8/100*E9</f>
        <v/>
      </c>
      <c r="K9" s="12">
        <f>SUM(G9:J9)</f>
        <v/>
      </c>
      <c r="L9" s="12">
        <f>K9/F9</f>
        <v/>
      </c>
      <c r="M9" s="12">
        <f>MAX(M8,K9)</f>
        <v/>
      </c>
      <c r="N9" s="13">
        <f>K9/M9-1</f>
        <v/>
      </c>
      <c r="O9" s="12">
        <f>Calculator!$B$4*B9</f>
        <v/>
      </c>
      <c r="P9" s="12">
        <f>Calculator!$B$4*C9</f>
        <v/>
      </c>
      <c r="Q9" s="12">
        <f>Calculator!$B$4*D9</f>
        <v/>
      </c>
      <c r="R9" s="12">
        <f>Calculator!$B$4*F9</f>
        <v/>
      </c>
    </row>
    <row r="10">
      <c r="A10" s="6">
        <f>Data!A10</f>
        <v/>
      </c>
      <c r="B10" s="16">
        <f>Data!C10/Data!$C$5</f>
        <v/>
      </c>
      <c r="C10" s="16">
        <f>Data!G10/Data!$G$5</f>
        <v/>
      </c>
      <c r="D10" s="16">
        <f>D9*(1+Data!I10/100)</f>
        <v/>
      </c>
      <c r="E10" s="16" t="n">
        <v>1</v>
      </c>
      <c r="F10" s="16">
        <f>F9*(1+Data!H10/100)^(1/12)</f>
        <v/>
      </c>
      <c r="G10" s="12">
        <f>Calculator!$B$4*Calculator!$B$5/100*B10</f>
        <v/>
      </c>
      <c r="H10" s="12">
        <f>Calculator!$B$4*Calculator!$B$6/100*C10</f>
        <v/>
      </c>
      <c r="I10" s="12">
        <f>Calculator!$B$4*Calculator!$B$7/100*D10</f>
        <v/>
      </c>
      <c r="J10" s="12">
        <f>Calculator!$B$4*Calculator!$B$8/100*E10</f>
        <v/>
      </c>
      <c r="K10" s="12">
        <f>SUM(G10:J10)</f>
        <v/>
      </c>
      <c r="L10" s="12">
        <f>K10/F10</f>
        <v/>
      </c>
      <c r="M10" s="12">
        <f>MAX(M9,K10)</f>
        <v/>
      </c>
      <c r="N10" s="13">
        <f>K10/M10-1</f>
        <v/>
      </c>
      <c r="O10" s="12">
        <f>Calculator!$B$4*B10</f>
        <v/>
      </c>
      <c r="P10" s="12">
        <f>Calculator!$B$4*C10</f>
        <v/>
      </c>
      <c r="Q10" s="12">
        <f>Calculator!$B$4*D10</f>
        <v/>
      </c>
      <c r="R10" s="12">
        <f>Calculator!$B$4*F10</f>
        <v/>
      </c>
    </row>
    <row r="11">
      <c r="A11" s="6">
        <f>Data!A11</f>
        <v/>
      </c>
      <c r="B11" s="16">
        <f>Data!C11/Data!$C$5</f>
        <v/>
      </c>
      <c r="C11" s="16">
        <f>Data!G11/Data!$G$5</f>
        <v/>
      </c>
      <c r="D11" s="16">
        <f>D10*(1+Data!I11/100)</f>
        <v/>
      </c>
      <c r="E11" s="16" t="n">
        <v>1</v>
      </c>
      <c r="F11" s="16">
        <f>F10*(1+Data!H11/100)^(1/12)</f>
        <v/>
      </c>
      <c r="G11" s="12">
        <f>Calculator!$B$4*Calculator!$B$5/100*B11</f>
        <v/>
      </c>
      <c r="H11" s="12">
        <f>Calculator!$B$4*Calculator!$B$6/100*C11</f>
        <v/>
      </c>
      <c r="I11" s="12">
        <f>Calculator!$B$4*Calculator!$B$7/100*D11</f>
        <v/>
      </c>
      <c r="J11" s="12">
        <f>Calculator!$B$4*Calculator!$B$8/100*E11</f>
        <v/>
      </c>
      <c r="K11" s="12">
        <f>SUM(G11:J11)</f>
        <v/>
      </c>
      <c r="L11" s="12">
        <f>K11/F11</f>
        <v/>
      </c>
      <c r="M11" s="12">
        <f>MAX(M10,K11)</f>
        <v/>
      </c>
      <c r="N11" s="13">
        <f>K11/M11-1</f>
        <v/>
      </c>
      <c r="O11" s="12">
        <f>Calculator!$B$4*B11</f>
        <v/>
      </c>
      <c r="P11" s="12">
        <f>Calculator!$B$4*C11</f>
        <v/>
      </c>
      <c r="Q11" s="12">
        <f>Calculator!$B$4*D11</f>
        <v/>
      </c>
      <c r="R11" s="12">
        <f>Calculator!$B$4*F11</f>
        <v/>
      </c>
    </row>
    <row r="12">
      <c r="A12" s="6">
        <f>Data!A12</f>
        <v/>
      </c>
      <c r="B12" s="16">
        <f>Data!C12/Data!$C$5</f>
        <v/>
      </c>
      <c r="C12" s="16">
        <f>Data!G12/Data!$G$5</f>
        <v/>
      </c>
      <c r="D12" s="16">
        <f>D11*(1+Data!I12/100)</f>
        <v/>
      </c>
      <c r="E12" s="16" t="n">
        <v>1</v>
      </c>
      <c r="F12" s="16">
        <f>F11*(1+Data!H12/100)^(1/12)</f>
        <v/>
      </c>
      <c r="G12" s="12">
        <f>Calculator!$B$4*Calculator!$B$5/100*B12</f>
        <v/>
      </c>
      <c r="H12" s="12">
        <f>Calculator!$B$4*Calculator!$B$6/100*C12</f>
        <v/>
      </c>
      <c r="I12" s="12">
        <f>Calculator!$B$4*Calculator!$B$7/100*D12</f>
        <v/>
      </c>
      <c r="J12" s="12">
        <f>Calculator!$B$4*Calculator!$B$8/100*E12</f>
        <v/>
      </c>
      <c r="K12" s="12">
        <f>SUM(G12:J12)</f>
        <v/>
      </c>
      <c r="L12" s="12">
        <f>K12/F12</f>
        <v/>
      </c>
      <c r="M12" s="12">
        <f>MAX(M11,K12)</f>
        <v/>
      </c>
      <c r="N12" s="13">
        <f>K12/M12-1</f>
        <v/>
      </c>
      <c r="O12" s="12">
        <f>Calculator!$B$4*B12</f>
        <v/>
      </c>
      <c r="P12" s="12">
        <f>Calculator!$B$4*C12</f>
        <v/>
      </c>
      <c r="Q12" s="12">
        <f>Calculator!$B$4*D12</f>
        <v/>
      </c>
      <c r="R12" s="12">
        <f>Calculator!$B$4*F12</f>
        <v/>
      </c>
    </row>
    <row r="13">
      <c r="A13" s="6">
        <f>Data!A13</f>
        <v/>
      </c>
      <c r="B13" s="16">
        <f>Data!C13/Data!$C$5</f>
        <v/>
      </c>
      <c r="C13" s="16">
        <f>Data!G13/Data!$G$5</f>
        <v/>
      </c>
      <c r="D13" s="16">
        <f>D12*(1+Data!I13/100)</f>
        <v/>
      </c>
      <c r="E13" s="16" t="n">
        <v>1</v>
      </c>
      <c r="F13" s="16">
        <f>F12*(1+Data!H13/100)^(1/12)</f>
        <v/>
      </c>
      <c r="G13" s="12">
        <f>Calculator!$B$4*Calculator!$B$5/100*B13</f>
        <v/>
      </c>
      <c r="H13" s="12">
        <f>Calculator!$B$4*Calculator!$B$6/100*C13</f>
        <v/>
      </c>
      <c r="I13" s="12">
        <f>Calculator!$B$4*Calculator!$B$7/100*D13</f>
        <v/>
      </c>
      <c r="J13" s="12">
        <f>Calculator!$B$4*Calculator!$B$8/100*E13</f>
        <v/>
      </c>
      <c r="K13" s="12">
        <f>SUM(G13:J13)</f>
        <v/>
      </c>
      <c r="L13" s="12">
        <f>K13/F13</f>
        <v/>
      </c>
      <c r="M13" s="12">
        <f>MAX(M12,K13)</f>
        <v/>
      </c>
      <c r="N13" s="13">
        <f>K13/M13-1</f>
        <v/>
      </c>
      <c r="O13" s="12">
        <f>Calculator!$B$4*B13</f>
        <v/>
      </c>
      <c r="P13" s="12">
        <f>Calculator!$B$4*C13</f>
        <v/>
      </c>
      <c r="Q13" s="12">
        <f>Calculator!$B$4*D13</f>
        <v/>
      </c>
      <c r="R13" s="12">
        <f>Calculator!$B$4*F13</f>
        <v/>
      </c>
    </row>
    <row r="14">
      <c r="A14" s="6">
        <f>Data!A14</f>
        <v/>
      </c>
      <c r="B14" s="16">
        <f>Data!C14/Data!$C$5</f>
        <v/>
      </c>
      <c r="C14" s="16">
        <f>Data!G14/Data!$G$5</f>
        <v/>
      </c>
      <c r="D14" s="16">
        <f>D13*(1+Data!I14/100)</f>
        <v/>
      </c>
      <c r="E14" s="16" t="n">
        <v>1</v>
      </c>
      <c r="F14" s="16">
        <f>F13*(1+Data!H14/100)^(1/12)</f>
        <v/>
      </c>
      <c r="G14" s="12">
        <f>Calculator!$B$4*Calculator!$B$5/100*B14</f>
        <v/>
      </c>
      <c r="H14" s="12">
        <f>Calculator!$B$4*Calculator!$B$6/100*C14</f>
        <v/>
      </c>
      <c r="I14" s="12">
        <f>Calculator!$B$4*Calculator!$B$7/100*D14</f>
        <v/>
      </c>
      <c r="J14" s="12">
        <f>Calculator!$B$4*Calculator!$B$8/100*E14</f>
        <v/>
      </c>
      <c r="K14" s="12">
        <f>SUM(G14:J14)</f>
        <v/>
      </c>
      <c r="L14" s="12">
        <f>K14/F14</f>
        <v/>
      </c>
      <c r="M14" s="12">
        <f>MAX(M13,K14)</f>
        <v/>
      </c>
      <c r="N14" s="13">
        <f>K14/M14-1</f>
        <v/>
      </c>
      <c r="O14" s="12">
        <f>Calculator!$B$4*B14</f>
        <v/>
      </c>
      <c r="P14" s="12">
        <f>Calculator!$B$4*C14</f>
        <v/>
      </c>
      <c r="Q14" s="12">
        <f>Calculator!$B$4*D14</f>
        <v/>
      </c>
      <c r="R14" s="12">
        <f>Calculator!$B$4*F14</f>
        <v/>
      </c>
    </row>
    <row r="15">
      <c r="A15" s="6">
        <f>Data!A15</f>
        <v/>
      </c>
      <c r="B15" s="16">
        <f>Data!C15/Data!$C$5</f>
        <v/>
      </c>
      <c r="C15" s="16">
        <f>Data!G15/Data!$G$5</f>
        <v/>
      </c>
      <c r="D15" s="16">
        <f>D14*(1+Data!I15/100)</f>
        <v/>
      </c>
      <c r="E15" s="16" t="n">
        <v>1</v>
      </c>
      <c r="F15" s="16">
        <f>F14*(1+Data!H15/100)^(1/12)</f>
        <v/>
      </c>
      <c r="G15" s="12">
        <f>Calculator!$B$4*Calculator!$B$5/100*B15</f>
        <v/>
      </c>
      <c r="H15" s="12">
        <f>Calculator!$B$4*Calculator!$B$6/100*C15</f>
        <v/>
      </c>
      <c r="I15" s="12">
        <f>Calculator!$B$4*Calculator!$B$7/100*D15</f>
        <v/>
      </c>
      <c r="J15" s="12">
        <f>Calculator!$B$4*Calculator!$B$8/100*E15</f>
        <v/>
      </c>
      <c r="K15" s="12">
        <f>SUM(G15:J15)</f>
        <v/>
      </c>
      <c r="L15" s="12">
        <f>K15/F15</f>
        <v/>
      </c>
      <c r="M15" s="12">
        <f>MAX(M14,K15)</f>
        <v/>
      </c>
      <c r="N15" s="13">
        <f>K15/M15-1</f>
        <v/>
      </c>
      <c r="O15" s="12">
        <f>Calculator!$B$4*B15</f>
        <v/>
      </c>
      <c r="P15" s="12">
        <f>Calculator!$B$4*C15</f>
        <v/>
      </c>
      <c r="Q15" s="12">
        <f>Calculator!$B$4*D15</f>
        <v/>
      </c>
      <c r="R15" s="12">
        <f>Calculator!$B$4*F15</f>
        <v/>
      </c>
    </row>
    <row r="16">
      <c r="A16" s="6">
        <f>Data!A16</f>
        <v/>
      </c>
      <c r="B16" s="16">
        <f>Data!C16/Data!$C$5</f>
        <v/>
      </c>
      <c r="C16" s="16">
        <f>Data!G16/Data!$G$5</f>
        <v/>
      </c>
      <c r="D16" s="16">
        <f>D15*(1+Data!I16/100)</f>
        <v/>
      </c>
      <c r="E16" s="16" t="n">
        <v>1</v>
      </c>
      <c r="F16" s="16">
        <f>F15*(1+Data!H16/100)^(1/12)</f>
        <v/>
      </c>
      <c r="G16" s="12">
        <f>Calculator!$B$4*Calculator!$B$5/100*B16</f>
        <v/>
      </c>
      <c r="H16" s="12">
        <f>Calculator!$B$4*Calculator!$B$6/100*C16</f>
        <v/>
      </c>
      <c r="I16" s="12">
        <f>Calculator!$B$4*Calculator!$B$7/100*D16</f>
        <v/>
      </c>
      <c r="J16" s="12">
        <f>Calculator!$B$4*Calculator!$B$8/100*E16</f>
        <v/>
      </c>
      <c r="K16" s="12">
        <f>SUM(G16:J16)</f>
        <v/>
      </c>
      <c r="L16" s="12">
        <f>K16/F16</f>
        <v/>
      </c>
      <c r="M16" s="12">
        <f>MAX(M15,K16)</f>
        <v/>
      </c>
      <c r="N16" s="13">
        <f>K16/M16-1</f>
        <v/>
      </c>
      <c r="O16" s="12">
        <f>Calculator!$B$4*B16</f>
        <v/>
      </c>
      <c r="P16" s="12">
        <f>Calculator!$B$4*C16</f>
        <v/>
      </c>
      <c r="Q16" s="12">
        <f>Calculator!$B$4*D16</f>
        <v/>
      </c>
      <c r="R16" s="12">
        <f>Calculator!$B$4*F16</f>
        <v/>
      </c>
    </row>
    <row r="17">
      <c r="A17" s="6">
        <f>Data!A17</f>
        <v/>
      </c>
      <c r="B17" s="16">
        <f>Data!C17/Data!$C$5</f>
        <v/>
      </c>
      <c r="C17" s="16">
        <f>Data!G17/Data!$G$5</f>
        <v/>
      </c>
      <c r="D17" s="16">
        <f>D16*(1+Data!I17/100)</f>
        <v/>
      </c>
      <c r="E17" s="16" t="n">
        <v>1</v>
      </c>
      <c r="F17" s="16">
        <f>F16*(1+Data!H17/100)^(1/12)</f>
        <v/>
      </c>
      <c r="G17" s="12">
        <f>Calculator!$B$4*Calculator!$B$5/100*B17</f>
        <v/>
      </c>
      <c r="H17" s="12">
        <f>Calculator!$B$4*Calculator!$B$6/100*C17</f>
        <v/>
      </c>
      <c r="I17" s="12">
        <f>Calculator!$B$4*Calculator!$B$7/100*D17</f>
        <v/>
      </c>
      <c r="J17" s="12">
        <f>Calculator!$B$4*Calculator!$B$8/100*E17</f>
        <v/>
      </c>
      <c r="K17" s="12">
        <f>SUM(G17:J17)</f>
        <v/>
      </c>
      <c r="L17" s="12">
        <f>K17/F17</f>
        <v/>
      </c>
      <c r="M17" s="12">
        <f>MAX(M16,K17)</f>
        <v/>
      </c>
      <c r="N17" s="13">
        <f>K17/M17-1</f>
        <v/>
      </c>
      <c r="O17" s="12">
        <f>Calculator!$B$4*B17</f>
        <v/>
      </c>
      <c r="P17" s="12">
        <f>Calculator!$B$4*C17</f>
        <v/>
      </c>
      <c r="Q17" s="12">
        <f>Calculator!$B$4*D17</f>
        <v/>
      </c>
      <c r="R17" s="12">
        <f>Calculator!$B$4*F17</f>
        <v/>
      </c>
    </row>
    <row r="18">
      <c r="A18" s="6">
        <f>Data!A18</f>
        <v/>
      </c>
      <c r="B18" s="16">
        <f>Data!C18/Data!$C$5</f>
        <v/>
      </c>
      <c r="C18" s="16">
        <f>Data!G18/Data!$G$5</f>
        <v/>
      </c>
      <c r="D18" s="16">
        <f>D17*(1+Data!I18/100)</f>
        <v/>
      </c>
      <c r="E18" s="16" t="n">
        <v>1</v>
      </c>
      <c r="F18" s="16">
        <f>F17*(1+Data!H18/100)^(1/12)</f>
        <v/>
      </c>
      <c r="G18" s="12">
        <f>Calculator!$B$4*Calculator!$B$5/100*B18</f>
        <v/>
      </c>
      <c r="H18" s="12">
        <f>Calculator!$B$4*Calculator!$B$6/100*C18</f>
        <v/>
      </c>
      <c r="I18" s="12">
        <f>Calculator!$B$4*Calculator!$B$7/100*D18</f>
        <v/>
      </c>
      <c r="J18" s="12">
        <f>Calculator!$B$4*Calculator!$B$8/100*E18</f>
        <v/>
      </c>
      <c r="K18" s="12">
        <f>SUM(G18:J18)</f>
        <v/>
      </c>
      <c r="L18" s="12">
        <f>K18/F18</f>
        <v/>
      </c>
      <c r="M18" s="12">
        <f>MAX(M17,K18)</f>
        <v/>
      </c>
      <c r="N18" s="13">
        <f>K18/M18-1</f>
        <v/>
      </c>
      <c r="O18" s="12">
        <f>Calculator!$B$4*B18</f>
        <v/>
      </c>
      <c r="P18" s="12">
        <f>Calculator!$B$4*C18</f>
        <v/>
      </c>
      <c r="Q18" s="12">
        <f>Calculator!$B$4*D18</f>
        <v/>
      </c>
      <c r="R18" s="12">
        <f>Calculator!$B$4*F18</f>
        <v/>
      </c>
    </row>
    <row r="19">
      <c r="A19" s="6">
        <f>Data!A19</f>
        <v/>
      </c>
      <c r="B19" s="16">
        <f>Data!C19/Data!$C$5</f>
        <v/>
      </c>
      <c r="C19" s="16">
        <f>Data!G19/Data!$G$5</f>
        <v/>
      </c>
      <c r="D19" s="16">
        <f>D18*(1+Data!I19/100)</f>
        <v/>
      </c>
      <c r="E19" s="16" t="n">
        <v>1</v>
      </c>
      <c r="F19" s="16">
        <f>F18*(1+Data!H19/100)^(1/12)</f>
        <v/>
      </c>
      <c r="G19" s="12">
        <f>Calculator!$B$4*Calculator!$B$5/100*B19</f>
        <v/>
      </c>
      <c r="H19" s="12">
        <f>Calculator!$B$4*Calculator!$B$6/100*C19</f>
        <v/>
      </c>
      <c r="I19" s="12">
        <f>Calculator!$B$4*Calculator!$B$7/100*D19</f>
        <v/>
      </c>
      <c r="J19" s="12">
        <f>Calculator!$B$4*Calculator!$B$8/100*E19</f>
        <v/>
      </c>
      <c r="K19" s="12">
        <f>SUM(G19:J19)</f>
        <v/>
      </c>
      <c r="L19" s="12">
        <f>K19/F19</f>
        <v/>
      </c>
      <c r="M19" s="12">
        <f>MAX(M18,K19)</f>
        <v/>
      </c>
      <c r="N19" s="13">
        <f>K19/M19-1</f>
        <v/>
      </c>
      <c r="O19" s="12">
        <f>Calculator!$B$4*B19</f>
        <v/>
      </c>
      <c r="P19" s="12">
        <f>Calculator!$B$4*C19</f>
        <v/>
      </c>
      <c r="Q19" s="12">
        <f>Calculator!$B$4*D19</f>
        <v/>
      </c>
      <c r="R19" s="12">
        <f>Calculator!$B$4*F19</f>
        <v/>
      </c>
    </row>
    <row r="20">
      <c r="A20" s="6">
        <f>Data!A20</f>
        <v/>
      </c>
      <c r="B20" s="16">
        <f>Data!C20/Data!$C$5</f>
        <v/>
      </c>
      <c r="C20" s="16">
        <f>Data!G20/Data!$G$5</f>
        <v/>
      </c>
      <c r="D20" s="16">
        <f>D19*(1+Data!I20/100)</f>
        <v/>
      </c>
      <c r="E20" s="16" t="n">
        <v>1</v>
      </c>
      <c r="F20" s="16">
        <f>F19*(1+Data!H20/100)^(1/12)</f>
        <v/>
      </c>
      <c r="G20" s="12">
        <f>Calculator!$B$4*Calculator!$B$5/100*B20</f>
        <v/>
      </c>
      <c r="H20" s="12">
        <f>Calculator!$B$4*Calculator!$B$6/100*C20</f>
        <v/>
      </c>
      <c r="I20" s="12">
        <f>Calculator!$B$4*Calculator!$B$7/100*D20</f>
        <v/>
      </c>
      <c r="J20" s="12">
        <f>Calculator!$B$4*Calculator!$B$8/100*E20</f>
        <v/>
      </c>
      <c r="K20" s="12">
        <f>SUM(G20:J20)</f>
        <v/>
      </c>
      <c r="L20" s="12">
        <f>K20/F20</f>
        <v/>
      </c>
      <c r="M20" s="12">
        <f>MAX(M19,K20)</f>
        <v/>
      </c>
      <c r="N20" s="13">
        <f>K20/M20-1</f>
        <v/>
      </c>
      <c r="O20" s="12">
        <f>Calculator!$B$4*B20</f>
        <v/>
      </c>
      <c r="P20" s="12">
        <f>Calculator!$B$4*C20</f>
        <v/>
      </c>
      <c r="Q20" s="12">
        <f>Calculator!$B$4*D20</f>
        <v/>
      </c>
      <c r="R20" s="12">
        <f>Calculator!$B$4*F20</f>
        <v/>
      </c>
    </row>
    <row r="21">
      <c r="A21" s="6">
        <f>Data!A21</f>
        <v/>
      </c>
      <c r="B21" s="16">
        <f>Data!C21/Data!$C$5</f>
        <v/>
      </c>
      <c r="C21" s="16">
        <f>Data!G21/Data!$G$5</f>
        <v/>
      </c>
      <c r="D21" s="16">
        <f>D20*(1+Data!I21/100)</f>
        <v/>
      </c>
      <c r="E21" s="16" t="n">
        <v>1</v>
      </c>
      <c r="F21" s="16">
        <f>F20*(1+Data!H21/100)^(1/12)</f>
        <v/>
      </c>
      <c r="G21" s="12">
        <f>Calculator!$B$4*Calculator!$B$5/100*B21</f>
        <v/>
      </c>
      <c r="H21" s="12">
        <f>Calculator!$B$4*Calculator!$B$6/100*C21</f>
        <v/>
      </c>
      <c r="I21" s="12">
        <f>Calculator!$B$4*Calculator!$B$7/100*D21</f>
        <v/>
      </c>
      <c r="J21" s="12">
        <f>Calculator!$B$4*Calculator!$B$8/100*E21</f>
        <v/>
      </c>
      <c r="K21" s="12">
        <f>SUM(G21:J21)</f>
        <v/>
      </c>
      <c r="L21" s="12">
        <f>K21/F21</f>
        <v/>
      </c>
      <c r="M21" s="12">
        <f>MAX(M20,K21)</f>
        <v/>
      </c>
      <c r="N21" s="13">
        <f>K21/M21-1</f>
        <v/>
      </c>
      <c r="O21" s="12">
        <f>Calculator!$B$4*B21</f>
        <v/>
      </c>
      <c r="P21" s="12">
        <f>Calculator!$B$4*C21</f>
        <v/>
      </c>
      <c r="Q21" s="12">
        <f>Calculator!$B$4*D21</f>
        <v/>
      </c>
      <c r="R21" s="12">
        <f>Calculator!$B$4*F21</f>
        <v/>
      </c>
    </row>
    <row r="22">
      <c r="A22" s="6">
        <f>Data!A22</f>
        <v/>
      </c>
      <c r="B22" s="16">
        <f>Data!C22/Data!$C$5</f>
        <v/>
      </c>
      <c r="C22" s="16">
        <f>Data!G22/Data!$G$5</f>
        <v/>
      </c>
      <c r="D22" s="16">
        <f>D21*(1+Data!I22/100)</f>
        <v/>
      </c>
      <c r="E22" s="16" t="n">
        <v>1</v>
      </c>
      <c r="F22" s="16">
        <f>F21*(1+Data!H22/100)^(1/12)</f>
        <v/>
      </c>
      <c r="G22" s="12">
        <f>Calculator!$B$4*Calculator!$B$5/100*B22</f>
        <v/>
      </c>
      <c r="H22" s="12">
        <f>Calculator!$B$4*Calculator!$B$6/100*C22</f>
        <v/>
      </c>
      <c r="I22" s="12">
        <f>Calculator!$B$4*Calculator!$B$7/100*D22</f>
        <v/>
      </c>
      <c r="J22" s="12">
        <f>Calculator!$B$4*Calculator!$B$8/100*E22</f>
        <v/>
      </c>
      <c r="K22" s="12">
        <f>SUM(G22:J22)</f>
        <v/>
      </c>
      <c r="L22" s="12">
        <f>K22/F22</f>
        <v/>
      </c>
      <c r="M22" s="12">
        <f>MAX(M21,K22)</f>
        <v/>
      </c>
      <c r="N22" s="13">
        <f>K22/M22-1</f>
        <v/>
      </c>
      <c r="O22" s="12">
        <f>Calculator!$B$4*B22</f>
        <v/>
      </c>
      <c r="P22" s="12">
        <f>Calculator!$B$4*C22</f>
        <v/>
      </c>
      <c r="Q22" s="12">
        <f>Calculator!$B$4*D22</f>
        <v/>
      </c>
      <c r="R22" s="12">
        <f>Calculator!$B$4*F22</f>
        <v/>
      </c>
    </row>
    <row r="23">
      <c r="A23" s="6">
        <f>Data!A23</f>
        <v/>
      </c>
      <c r="B23" s="16">
        <f>Data!C23/Data!$C$5</f>
        <v/>
      </c>
      <c r="C23" s="16">
        <f>Data!G23/Data!$G$5</f>
        <v/>
      </c>
      <c r="D23" s="16">
        <f>D22*(1+Data!I23/100)</f>
        <v/>
      </c>
      <c r="E23" s="16" t="n">
        <v>1</v>
      </c>
      <c r="F23" s="16">
        <f>F22*(1+Data!H23/100)^(1/12)</f>
        <v/>
      </c>
      <c r="G23" s="12">
        <f>Calculator!$B$4*Calculator!$B$5/100*B23</f>
        <v/>
      </c>
      <c r="H23" s="12">
        <f>Calculator!$B$4*Calculator!$B$6/100*C23</f>
        <v/>
      </c>
      <c r="I23" s="12">
        <f>Calculator!$B$4*Calculator!$B$7/100*D23</f>
        <v/>
      </c>
      <c r="J23" s="12">
        <f>Calculator!$B$4*Calculator!$B$8/100*E23</f>
        <v/>
      </c>
      <c r="K23" s="12">
        <f>SUM(G23:J23)</f>
        <v/>
      </c>
      <c r="L23" s="12">
        <f>K23/F23</f>
        <v/>
      </c>
      <c r="M23" s="12">
        <f>MAX(M22,K23)</f>
        <v/>
      </c>
      <c r="N23" s="13">
        <f>K23/M23-1</f>
        <v/>
      </c>
      <c r="O23" s="12">
        <f>Calculator!$B$4*B23</f>
        <v/>
      </c>
      <c r="P23" s="12">
        <f>Calculator!$B$4*C23</f>
        <v/>
      </c>
      <c r="Q23" s="12">
        <f>Calculator!$B$4*D23</f>
        <v/>
      </c>
      <c r="R23" s="12">
        <f>Calculator!$B$4*F23</f>
        <v/>
      </c>
    </row>
    <row r="24">
      <c r="A24" s="6">
        <f>Data!A24</f>
        <v/>
      </c>
      <c r="B24" s="16">
        <f>Data!C24/Data!$C$5</f>
        <v/>
      </c>
      <c r="C24" s="16">
        <f>Data!G24/Data!$G$5</f>
        <v/>
      </c>
      <c r="D24" s="16">
        <f>D23*(1+Data!I24/100)</f>
        <v/>
      </c>
      <c r="E24" s="16" t="n">
        <v>1</v>
      </c>
      <c r="F24" s="16">
        <f>F23*(1+Data!H24/100)^(1/12)</f>
        <v/>
      </c>
      <c r="G24" s="12">
        <f>Calculator!$B$4*Calculator!$B$5/100*B24</f>
        <v/>
      </c>
      <c r="H24" s="12">
        <f>Calculator!$B$4*Calculator!$B$6/100*C24</f>
        <v/>
      </c>
      <c r="I24" s="12">
        <f>Calculator!$B$4*Calculator!$B$7/100*D24</f>
        <v/>
      </c>
      <c r="J24" s="12">
        <f>Calculator!$B$4*Calculator!$B$8/100*E24</f>
        <v/>
      </c>
      <c r="K24" s="12">
        <f>SUM(G24:J24)</f>
        <v/>
      </c>
      <c r="L24" s="12">
        <f>K24/F24</f>
        <v/>
      </c>
      <c r="M24" s="12">
        <f>MAX(M23,K24)</f>
        <v/>
      </c>
      <c r="N24" s="13">
        <f>K24/M24-1</f>
        <v/>
      </c>
      <c r="O24" s="12">
        <f>Calculator!$B$4*B24</f>
        <v/>
      </c>
      <c r="P24" s="12">
        <f>Calculator!$B$4*C24</f>
        <v/>
      </c>
      <c r="Q24" s="12">
        <f>Calculator!$B$4*D24</f>
        <v/>
      </c>
      <c r="R24" s="12">
        <f>Calculator!$B$4*F24</f>
        <v/>
      </c>
    </row>
    <row r="25">
      <c r="A25" s="6">
        <f>Data!A25</f>
        <v/>
      </c>
      <c r="B25" s="16">
        <f>Data!C25/Data!$C$5</f>
        <v/>
      </c>
      <c r="C25" s="16">
        <f>Data!G25/Data!$G$5</f>
        <v/>
      </c>
      <c r="D25" s="16">
        <f>D24*(1+Data!I25/100)</f>
        <v/>
      </c>
      <c r="E25" s="16" t="n">
        <v>1</v>
      </c>
      <c r="F25" s="16">
        <f>F24*(1+Data!H25/100)^(1/12)</f>
        <v/>
      </c>
      <c r="G25" s="12">
        <f>Calculator!$B$4*Calculator!$B$5/100*B25</f>
        <v/>
      </c>
      <c r="H25" s="12">
        <f>Calculator!$B$4*Calculator!$B$6/100*C25</f>
        <v/>
      </c>
      <c r="I25" s="12">
        <f>Calculator!$B$4*Calculator!$B$7/100*D25</f>
        <v/>
      </c>
      <c r="J25" s="12">
        <f>Calculator!$B$4*Calculator!$B$8/100*E25</f>
        <v/>
      </c>
      <c r="K25" s="12">
        <f>SUM(G25:J25)</f>
        <v/>
      </c>
      <c r="L25" s="12">
        <f>K25/F25</f>
        <v/>
      </c>
      <c r="M25" s="12">
        <f>MAX(M24,K25)</f>
        <v/>
      </c>
      <c r="N25" s="13">
        <f>K25/M25-1</f>
        <v/>
      </c>
      <c r="O25" s="12">
        <f>Calculator!$B$4*B25</f>
        <v/>
      </c>
      <c r="P25" s="12">
        <f>Calculator!$B$4*C25</f>
        <v/>
      </c>
      <c r="Q25" s="12">
        <f>Calculator!$B$4*D25</f>
        <v/>
      </c>
      <c r="R25" s="12">
        <f>Calculator!$B$4*F25</f>
        <v/>
      </c>
    </row>
    <row r="26">
      <c r="A26" s="6">
        <f>Data!A26</f>
        <v/>
      </c>
      <c r="B26" s="16">
        <f>Data!C26/Data!$C$5</f>
        <v/>
      </c>
      <c r="C26" s="16">
        <f>Data!G26/Data!$G$5</f>
        <v/>
      </c>
      <c r="D26" s="16">
        <f>D25*(1+Data!I26/100)</f>
        <v/>
      </c>
      <c r="E26" s="16" t="n">
        <v>1</v>
      </c>
      <c r="F26" s="16">
        <f>F25*(1+Data!H26/100)^(1/12)</f>
        <v/>
      </c>
      <c r="G26" s="12">
        <f>Calculator!$B$4*Calculator!$B$5/100*B26</f>
        <v/>
      </c>
      <c r="H26" s="12">
        <f>Calculator!$B$4*Calculator!$B$6/100*C26</f>
        <v/>
      </c>
      <c r="I26" s="12">
        <f>Calculator!$B$4*Calculator!$B$7/100*D26</f>
        <v/>
      </c>
      <c r="J26" s="12">
        <f>Calculator!$B$4*Calculator!$B$8/100*E26</f>
        <v/>
      </c>
      <c r="K26" s="12">
        <f>SUM(G26:J26)</f>
        <v/>
      </c>
      <c r="L26" s="12">
        <f>K26/F26</f>
        <v/>
      </c>
      <c r="M26" s="12">
        <f>MAX(M25,K26)</f>
        <v/>
      </c>
      <c r="N26" s="13">
        <f>K26/M26-1</f>
        <v/>
      </c>
      <c r="O26" s="12">
        <f>Calculator!$B$4*B26</f>
        <v/>
      </c>
      <c r="P26" s="12">
        <f>Calculator!$B$4*C26</f>
        <v/>
      </c>
      <c r="Q26" s="12">
        <f>Calculator!$B$4*D26</f>
        <v/>
      </c>
      <c r="R26" s="12">
        <f>Calculator!$B$4*F26</f>
        <v/>
      </c>
    </row>
    <row r="27">
      <c r="A27" s="6">
        <f>Data!A27</f>
        <v/>
      </c>
      <c r="B27" s="16">
        <f>Data!C27/Data!$C$5</f>
        <v/>
      </c>
      <c r="C27" s="16">
        <f>Data!G27/Data!$G$5</f>
        <v/>
      </c>
      <c r="D27" s="16">
        <f>D26*(1+Data!I27/100)</f>
        <v/>
      </c>
      <c r="E27" s="16" t="n">
        <v>1</v>
      </c>
      <c r="F27" s="16">
        <f>F26*(1+Data!H27/100)^(1/12)</f>
        <v/>
      </c>
      <c r="G27" s="12">
        <f>Calculator!$B$4*Calculator!$B$5/100*B27</f>
        <v/>
      </c>
      <c r="H27" s="12">
        <f>Calculator!$B$4*Calculator!$B$6/100*C27</f>
        <v/>
      </c>
      <c r="I27" s="12">
        <f>Calculator!$B$4*Calculator!$B$7/100*D27</f>
        <v/>
      </c>
      <c r="J27" s="12">
        <f>Calculator!$B$4*Calculator!$B$8/100*E27</f>
        <v/>
      </c>
      <c r="K27" s="12">
        <f>SUM(G27:J27)</f>
        <v/>
      </c>
      <c r="L27" s="12">
        <f>K27/F27</f>
        <v/>
      </c>
      <c r="M27" s="12">
        <f>MAX(M26,K27)</f>
        <v/>
      </c>
      <c r="N27" s="13">
        <f>K27/M27-1</f>
        <v/>
      </c>
      <c r="O27" s="12">
        <f>Calculator!$B$4*B27</f>
        <v/>
      </c>
      <c r="P27" s="12">
        <f>Calculator!$B$4*C27</f>
        <v/>
      </c>
      <c r="Q27" s="12">
        <f>Calculator!$B$4*D27</f>
        <v/>
      </c>
      <c r="R27" s="12">
        <f>Calculator!$B$4*F27</f>
        <v/>
      </c>
    </row>
    <row r="28">
      <c r="A28" s="6">
        <f>Data!A28</f>
        <v/>
      </c>
      <c r="B28" s="16">
        <f>Data!C28/Data!$C$5</f>
        <v/>
      </c>
      <c r="C28" s="16">
        <f>Data!G28/Data!$G$5</f>
        <v/>
      </c>
      <c r="D28" s="16">
        <f>D27*(1+Data!I28/100)</f>
        <v/>
      </c>
      <c r="E28" s="16" t="n">
        <v>1</v>
      </c>
      <c r="F28" s="16">
        <f>F27*(1+Data!H28/100)^(1/12)</f>
        <v/>
      </c>
      <c r="G28" s="12">
        <f>Calculator!$B$4*Calculator!$B$5/100*B28</f>
        <v/>
      </c>
      <c r="H28" s="12">
        <f>Calculator!$B$4*Calculator!$B$6/100*C28</f>
        <v/>
      </c>
      <c r="I28" s="12">
        <f>Calculator!$B$4*Calculator!$B$7/100*D28</f>
        <v/>
      </c>
      <c r="J28" s="12">
        <f>Calculator!$B$4*Calculator!$B$8/100*E28</f>
        <v/>
      </c>
      <c r="K28" s="12">
        <f>SUM(G28:J28)</f>
        <v/>
      </c>
      <c r="L28" s="12">
        <f>K28/F28</f>
        <v/>
      </c>
      <c r="M28" s="12">
        <f>MAX(M27,K28)</f>
        <v/>
      </c>
      <c r="N28" s="13">
        <f>K28/M28-1</f>
        <v/>
      </c>
      <c r="O28" s="12">
        <f>Calculator!$B$4*B28</f>
        <v/>
      </c>
      <c r="P28" s="12">
        <f>Calculator!$B$4*C28</f>
        <v/>
      </c>
      <c r="Q28" s="12">
        <f>Calculator!$B$4*D28</f>
        <v/>
      </c>
      <c r="R28" s="12">
        <f>Calculator!$B$4*F28</f>
        <v/>
      </c>
    </row>
    <row r="29">
      <c r="A29" s="6">
        <f>Data!A29</f>
        <v/>
      </c>
      <c r="B29" s="16">
        <f>Data!C29/Data!$C$5</f>
        <v/>
      </c>
      <c r="C29" s="16">
        <f>Data!G29/Data!$G$5</f>
        <v/>
      </c>
      <c r="D29" s="16">
        <f>D28*(1+Data!I29/100)</f>
        <v/>
      </c>
      <c r="E29" s="16" t="n">
        <v>1</v>
      </c>
      <c r="F29" s="16">
        <f>F28*(1+Data!H29/100)^(1/12)</f>
        <v/>
      </c>
      <c r="G29" s="12">
        <f>Calculator!$B$4*Calculator!$B$5/100*B29</f>
        <v/>
      </c>
      <c r="H29" s="12">
        <f>Calculator!$B$4*Calculator!$B$6/100*C29</f>
        <v/>
      </c>
      <c r="I29" s="12">
        <f>Calculator!$B$4*Calculator!$B$7/100*D29</f>
        <v/>
      </c>
      <c r="J29" s="12">
        <f>Calculator!$B$4*Calculator!$B$8/100*E29</f>
        <v/>
      </c>
      <c r="K29" s="12">
        <f>SUM(G29:J29)</f>
        <v/>
      </c>
      <c r="L29" s="12">
        <f>K29/F29</f>
        <v/>
      </c>
      <c r="M29" s="12">
        <f>MAX(M28,K29)</f>
        <v/>
      </c>
      <c r="N29" s="13">
        <f>K29/M29-1</f>
        <v/>
      </c>
      <c r="O29" s="12">
        <f>Calculator!$B$4*B29</f>
        <v/>
      </c>
      <c r="P29" s="12">
        <f>Calculator!$B$4*C29</f>
        <v/>
      </c>
      <c r="Q29" s="12">
        <f>Calculator!$B$4*D29</f>
        <v/>
      </c>
      <c r="R29" s="12">
        <f>Calculator!$B$4*F29</f>
        <v/>
      </c>
    </row>
    <row r="30">
      <c r="A30" s="6">
        <f>Data!A30</f>
        <v/>
      </c>
      <c r="B30" s="16">
        <f>Data!C30/Data!$C$5</f>
        <v/>
      </c>
      <c r="C30" s="16">
        <f>Data!G30/Data!$G$5</f>
        <v/>
      </c>
      <c r="D30" s="16">
        <f>D29*(1+Data!I30/100)</f>
        <v/>
      </c>
      <c r="E30" s="16" t="n">
        <v>1</v>
      </c>
      <c r="F30" s="16">
        <f>F29*(1+Data!H30/100)^(1/12)</f>
        <v/>
      </c>
      <c r="G30" s="12">
        <f>Calculator!$B$4*Calculator!$B$5/100*B30</f>
        <v/>
      </c>
      <c r="H30" s="12">
        <f>Calculator!$B$4*Calculator!$B$6/100*C30</f>
        <v/>
      </c>
      <c r="I30" s="12">
        <f>Calculator!$B$4*Calculator!$B$7/100*D30</f>
        <v/>
      </c>
      <c r="J30" s="12">
        <f>Calculator!$B$4*Calculator!$B$8/100*E30</f>
        <v/>
      </c>
      <c r="K30" s="12">
        <f>SUM(G30:J30)</f>
        <v/>
      </c>
      <c r="L30" s="12">
        <f>K30/F30</f>
        <v/>
      </c>
      <c r="M30" s="12">
        <f>MAX(M29,K30)</f>
        <v/>
      </c>
      <c r="N30" s="13">
        <f>K30/M30-1</f>
        <v/>
      </c>
      <c r="O30" s="12">
        <f>Calculator!$B$4*B30</f>
        <v/>
      </c>
      <c r="P30" s="12">
        <f>Calculator!$B$4*C30</f>
        <v/>
      </c>
      <c r="Q30" s="12">
        <f>Calculator!$B$4*D30</f>
        <v/>
      </c>
      <c r="R30" s="12">
        <f>Calculator!$B$4*F30</f>
        <v/>
      </c>
    </row>
    <row r="31">
      <c r="A31" s="6">
        <f>Data!A31</f>
        <v/>
      </c>
      <c r="B31" s="16">
        <f>Data!C31/Data!$C$5</f>
        <v/>
      </c>
      <c r="C31" s="16">
        <f>Data!G31/Data!$G$5</f>
        <v/>
      </c>
      <c r="D31" s="16">
        <f>D30*(1+Data!I31/100)</f>
        <v/>
      </c>
      <c r="E31" s="16" t="n">
        <v>1</v>
      </c>
      <c r="F31" s="16">
        <f>F30*(1+Data!H31/100)^(1/12)</f>
        <v/>
      </c>
      <c r="G31" s="12">
        <f>Calculator!$B$4*Calculator!$B$5/100*B31</f>
        <v/>
      </c>
      <c r="H31" s="12">
        <f>Calculator!$B$4*Calculator!$B$6/100*C31</f>
        <v/>
      </c>
      <c r="I31" s="12">
        <f>Calculator!$B$4*Calculator!$B$7/100*D31</f>
        <v/>
      </c>
      <c r="J31" s="12">
        <f>Calculator!$B$4*Calculator!$B$8/100*E31</f>
        <v/>
      </c>
      <c r="K31" s="12">
        <f>SUM(G31:J31)</f>
        <v/>
      </c>
      <c r="L31" s="12">
        <f>K31/F31</f>
        <v/>
      </c>
      <c r="M31" s="12">
        <f>MAX(M30,K31)</f>
        <v/>
      </c>
      <c r="N31" s="13">
        <f>K31/M31-1</f>
        <v/>
      </c>
      <c r="O31" s="12">
        <f>Calculator!$B$4*B31</f>
        <v/>
      </c>
      <c r="P31" s="12">
        <f>Calculator!$B$4*C31</f>
        <v/>
      </c>
      <c r="Q31" s="12">
        <f>Calculator!$B$4*D31</f>
        <v/>
      </c>
      <c r="R31" s="12">
        <f>Calculator!$B$4*F31</f>
        <v/>
      </c>
    </row>
    <row r="32">
      <c r="A32" s="6">
        <f>Data!A32</f>
        <v/>
      </c>
      <c r="B32" s="16">
        <f>Data!C32/Data!$C$5</f>
        <v/>
      </c>
      <c r="C32" s="16">
        <f>Data!G32/Data!$G$5</f>
        <v/>
      </c>
      <c r="D32" s="16">
        <f>D31*(1+Data!I32/100)</f>
        <v/>
      </c>
      <c r="E32" s="16" t="n">
        <v>1</v>
      </c>
      <c r="F32" s="16">
        <f>F31*(1+Data!H32/100)^(1/12)</f>
        <v/>
      </c>
      <c r="G32" s="12">
        <f>Calculator!$B$4*Calculator!$B$5/100*B32</f>
        <v/>
      </c>
      <c r="H32" s="12">
        <f>Calculator!$B$4*Calculator!$B$6/100*C32</f>
        <v/>
      </c>
      <c r="I32" s="12">
        <f>Calculator!$B$4*Calculator!$B$7/100*D32</f>
        <v/>
      </c>
      <c r="J32" s="12">
        <f>Calculator!$B$4*Calculator!$B$8/100*E32</f>
        <v/>
      </c>
      <c r="K32" s="12">
        <f>SUM(G32:J32)</f>
        <v/>
      </c>
      <c r="L32" s="12">
        <f>K32/F32</f>
        <v/>
      </c>
      <c r="M32" s="12">
        <f>MAX(M31,K32)</f>
        <v/>
      </c>
      <c r="N32" s="13">
        <f>K32/M32-1</f>
        <v/>
      </c>
      <c r="O32" s="12">
        <f>Calculator!$B$4*B32</f>
        <v/>
      </c>
      <c r="P32" s="12">
        <f>Calculator!$B$4*C32</f>
        <v/>
      </c>
      <c r="Q32" s="12">
        <f>Calculator!$B$4*D32</f>
        <v/>
      </c>
      <c r="R32" s="12">
        <f>Calculator!$B$4*F32</f>
        <v/>
      </c>
    </row>
    <row r="33">
      <c r="A33" s="6">
        <f>Data!A33</f>
        <v/>
      </c>
      <c r="B33" s="16">
        <f>Data!C33/Data!$C$5</f>
        <v/>
      </c>
      <c r="C33" s="16">
        <f>Data!G33/Data!$G$5</f>
        <v/>
      </c>
      <c r="D33" s="16">
        <f>D32*(1+Data!I33/100)</f>
        <v/>
      </c>
      <c r="E33" s="16" t="n">
        <v>1</v>
      </c>
      <c r="F33" s="16">
        <f>F32*(1+Data!H33/100)^(1/12)</f>
        <v/>
      </c>
      <c r="G33" s="12">
        <f>Calculator!$B$4*Calculator!$B$5/100*B33</f>
        <v/>
      </c>
      <c r="H33" s="12">
        <f>Calculator!$B$4*Calculator!$B$6/100*C33</f>
        <v/>
      </c>
      <c r="I33" s="12">
        <f>Calculator!$B$4*Calculator!$B$7/100*D33</f>
        <v/>
      </c>
      <c r="J33" s="12">
        <f>Calculator!$B$4*Calculator!$B$8/100*E33</f>
        <v/>
      </c>
      <c r="K33" s="12">
        <f>SUM(G33:J33)</f>
        <v/>
      </c>
      <c r="L33" s="12">
        <f>K33/F33</f>
        <v/>
      </c>
      <c r="M33" s="12">
        <f>MAX(M32,K33)</f>
        <v/>
      </c>
      <c r="N33" s="13">
        <f>K33/M33-1</f>
        <v/>
      </c>
      <c r="O33" s="12">
        <f>Calculator!$B$4*B33</f>
        <v/>
      </c>
      <c r="P33" s="12">
        <f>Calculator!$B$4*C33</f>
        <v/>
      </c>
      <c r="Q33" s="12">
        <f>Calculator!$B$4*D33</f>
        <v/>
      </c>
      <c r="R33" s="12">
        <f>Calculator!$B$4*F33</f>
        <v/>
      </c>
    </row>
    <row r="34">
      <c r="A34" s="6">
        <f>Data!A34</f>
        <v/>
      </c>
      <c r="B34" s="16">
        <f>Data!C34/Data!$C$5</f>
        <v/>
      </c>
      <c r="C34" s="16">
        <f>Data!G34/Data!$G$5</f>
        <v/>
      </c>
      <c r="D34" s="16">
        <f>D33*(1+Data!I34/100)</f>
        <v/>
      </c>
      <c r="E34" s="16" t="n">
        <v>1</v>
      </c>
      <c r="F34" s="16">
        <f>F33*(1+Data!H34/100)^(1/12)</f>
        <v/>
      </c>
      <c r="G34" s="12">
        <f>Calculator!$B$4*Calculator!$B$5/100*B34</f>
        <v/>
      </c>
      <c r="H34" s="12">
        <f>Calculator!$B$4*Calculator!$B$6/100*C34</f>
        <v/>
      </c>
      <c r="I34" s="12">
        <f>Calculator!$B$4*Calculator!$B$7/100*D34</f>
        <v/>
      </c>
      <c r="J34" s="12">
        <f>Calculator!$B$4*Calculator!$B$8/100*E34</f>
        <v/>
      </c>
      <c r="K34" s="12">
        <f>SUM(G34:J34)</f>
        <v/>
      </c>
      <c r="L34" s="12">
        <f>K34/F34</f>
        <v/>
      </c>
      <c r="M34" s="12">
        <f>MAX(M33,K34)</f>
        <v/>
      </c>
      <c r="N34" s="13">
        <f>K34/M34-1</f>
        <v/>
      </c>
      <c r="O34" s="12">
        <f>Calculator!$B$4*B34</f>
        <v/>
      </c>
      <c r="P34" s="12">
        <f>Calculator!$B$4*C34</f>
        <v/>
      </c>
      <c r="Q34" s="12">
        <f>Calculator!$B$4*D34</f>
        <v/>
      </c>
      <c r="R34" s="12">
        <f>Calculator!$B$4*F34</f>
        <v/>
      </c>
    </row>
    <row r="35">
      <c r="A35" s="6">
        <f>Data!A35</f>
        <v/>
      </c>
      <c r="B35" s="16">
        <f>Data!C35/Data!$C$5</f>
        <v/>
      </c>
      <c r="C35" s="16">
        <f>Data!G35/Data!$G$5</f>
        <v/>
      </c>
      <c r="D35" s="16">
        <f>D34*(1+Data!I35/100)</f>
        <v/>
      </c>
      <c r="E35" s="16" t="n">
        <v>1</v>
      </c>
      <c r="F35" s="16">
        <f>F34*(1+Data!H35/100)^(1/12)</f>
        <v/>
      </c>
      <c r="G35" s="12">
        <f>Calculator!$B$4*Calculator!$B$5/100*B35</f>
        <v/>
      </c>
      <c r="H35" s="12">
        <f>Calculator!$B$4*Calculator!$B$6/100*C35</f>
        <v/>
      </c>
      <c r="I35" s="12">
        <f>Calculator!$B$4*Calculator!$B$7/100*D35</f>
        <v/>
      </c>
      <c r="J35" s="12">
        <f>Calculator!$B$4*Calculator!$B$8/100*E35</f>
        <v/>
      </c>
      <c r="K35" s="12">
        <f>SUM(G35:J35)</f>
        <v/>
      </c>
      <c r="L35" s="12">
        <f>K35/F35</f>
        <v/>
      </c>
      <c r="M35" s="12">
        <f>MAX(M34,K35)</f>
        <v/>
      </c>
      <c r="N35" s="13">
        <f>K35/M35-1</f>
        <v/>
      </c>
      <c r="O35" s="12">
        <f>Calculator!$B$4*B35</f>
        <v/>
      </c>
      <c r="P35" s="12">
        <f>Calculator!$B$4*C35</f>
        <v/>
      </c>
      <c r="Q35" s="12">
        <f>Calculator!$B$4*D35</f>
        <v/>
      </c>
      <c r="R35" s="12">
        <f>Calculator!$B$4*F35</f>
        <v/>
      </c>
    </row>
    <row r="36">
      <c r="A36" s="6">
        <f>Data!A36</f>
        <v/>
      </c>
      <c r="B36" s="16">
        <f>Data!C36/Data!$C$5</f>
        <v/>
      </c>
      <c r="C36" s="16">
        <f>Data!G36/Data!$G$5</f>
        <v/>
      </c>
      <c r="D36" s="16">
        <f>D35*(1+Data!I36/100)</f>
        <v/>
      </c>
      <c r="E36" s="16" t="n">
        <v>1</v>
      </c>
      <c r="F36" s="16">
        <f>F35*(1+Data!H36/100)^(1/12)</f>
        <v/>
      </c>
      <c r="G36" s="12">
        <f>Calculator!$B$4*Calculator!$B$5/100*B36</f>
        <v/>
      </c>
      <c r="H36" s="12">
        <f>Calculator!$B$4*Calculator!$B$6/100*C36</f>
        <v/>
      </c>
      <c r="I36" s="12">
        <f>Calculator!$B$4*Calculator!$B$7/100*D36</f>
        <v/>
      </c>
      <c r="J36" s="12">
        <f>Calculator!$B$4*Calculator!$B$8/100*E36</f>
        <v/>
      </c>
      <c r="K36" s="12">
        <f>SUM(G36:J36)</f>
        <v/>
      </c>
      <c r="L36" s="12">
        <f>K36/F36</f>
        <v/>
      </c>
      <c r="M36" s="12">
        <f>MAX(M35,K36)</f>
        <v/>
      </c>
      <c r="N36" s="13">
        <f>K36/M36-1</f>
        <v/>
      </c>
      <c r="O36" s="12">
        <f>Calculator!$B$4*B36</f>
        <v/>
      </c>
      <c r="P36" s="12">
        <f>Calculator!$B$4*C36</f>
        <v/>
      </c>
      <c r="Q36" s="12">
        <f>Calculator!$B$4*D36</f>
        <v/>
      </c>
      <c r="R36" s="12">
        <f>Calculator!$B$4*F36</f>
        <v/>
      </c>
    </row>
    <row r="37">
      <c r="A37" s="6">
        <f>Data!A37</f>
        <v/>
      </c>
      <c r="B37" s="16">
        <f>Data!C37/Data!$C$5</f>
        <v/>
      </c>
      <c r="C37" s="16">
        <f>Data!G37/Data!$G$5</f>
        <v/>
      </c>
      <c r="D37" s="16">
        <f>D36*(1+Data!I37/100)</f>
        <v/>
      </c>
      <c r="E37" s="16" t="n">
        <v>1</v>
      </c>
      <c r="F37" s="16">
        <f>F36*(1+Data!H37/100)^(1/12)</f>
        <v/>
      </c>
      <c r="G37" s="12">
        <f>Calculator!$B$4*Calculator!$B$5/100*B37</f>
        <v/>
      </c>
      <c r="H37" s="12">
        <f>Calculator!$B$4*Calculator!$B$6/100*C37</f>
        <v/>
      </c>
      <c r="I37" s="12">
        <f>Calculator!$B$4*Calculator!$B$7/100*D37</f>
        <v/>
      </c>
      <c r="J37" s="12">
        <f>Calculator!$B$4*Calculator!$B$8/100*E37</f>
        <v/>
      </c>
      <c r="K37" s="12">
        <f>SUM(G37:J37)</f>
        <v/>
      </c>
      <c r="L37" s="12">
        <f>K37/F37</f>
        <v/>
      </c>
      <c r="M37" s="12">
        <f>MAX(M36,K37)</f>
        <v/>
      </c>
      <c r="N37" s="13">
        <f>K37/M37-1</f>
        <v/>
      </c>
      <c r="O37" s="12">
        <f>Calculator!$B$4*B37</f>
        <v/>
      </c>
      <c r="P37" s="12">
        <f>Calculator!$B$4*C37</f>
        <v/>
      </c>
      <c r="Q37" s="12">
        <f>Calculator!$B$4*D37</f>
        <v/>
      </c>
      <c r="R37" s="12">
        <f>Calculator!$B$4*F37</f>
        <v/>
      </c>
    </row>
    <row r="38">
      <c r="A38" s="6">
        <f>Data!A38</f>
        <v/>
      </c>
      <c r="B38" s="16">
        <f>Data!C38/Data!$C$5</f>
        <v/>
      </c>
      <c r="C38" s="16">
        <f>Data!G38/Data!$G$5</f>
        <v/>
      </c>
      <c r="D38" s="16">
        <f>D37*(1+Data!I38/100)</f>
        <v/>
      </c>
      <c r="E38" s="16" t="n">
        <v>1</v>
      </c>
      <c r="F38" s="16">
        <f>F37*(1+Data!H38/100)^(1/12)</f>
        <v/>
      </c>
      <c r="G38" s="12">
        <f>Calculator!$B$4*Calculator!$B$5/100*B38</f>
        <v/>
      </c>
      <c r="H38" s="12">
        <f>Calculator!$B$4*Calculator!$B$6/100*C38</f>
        <v/>
      </c>
      <c r="I38" s="12">
        <f>Calculator!$B$4*Calculator!$B$7/100*D38</f>
        <v/>
      </c>
      <c r="J38" s="12">
        <f>Calculator!$B$4*Calculator!$B$8/100*E38</f>
        <v/>
      </c>
      <c r="K38" s="12">
        <f>SUM(G38:J38)</f>
        <v/>
      </c>
      <c r="L38" s="12">
        <f>K38/F38</f>
        <v/>
      </c>
      <c r="M38" s="12">
        <f>MAX(M37,K38)</f>
        <v/>
      </c>
      <c r="N38" s="13">
        <f>K38/M38-1</f>
        <v/>
      </c>
      <c r="O38" s="12">
        <f>Calculator!$B$4*B38</f>
        <v/>
      </c>
      <c r="P38" s="12">
        <f>Calculator!$B$4*C38</f>
        <v/>
      </c>
      <c r="Q38" s="12">
        <f>Calculator!$B$4*D38</f>
        <v/>
      </c>
      <c r="R38" s="12">
        <f>Calculator!$B$4*F38</f>
        <v/>
      </c>
    </row>
    <row r="39">
      <c r="A39" s="6">
        <f>Data!A39</f>
        <v/>
      </c>
      <c r="B39" s="16">
        <f>Data!C39/Data!$C$5</f>
        <v/>
      </c>
      <c r="C39" s="16">
        <f>Data!G39/Data!$G$5</f>
        <v/>
      </c>
      <c r="D39" s="16">
        <f>D38*(1+Data!I39/100)</f>
        <v/>
      </c>
      <c r="E39" s="16" t="n">
        <v>1</v>
      </c>
      <c r="F39" s="16">
        <f>F38*(1+Data!H39/100)^(1/12)</f>
        <v/>
      </c>
      <c r="G39" s="12">
        <f>Calculator!$B$4*Calculator!$B$5/100*B39</f>
        <v/>
      </c>
      <c r="H39" s="12">
        <f>Calculator!$B$4*Calculator!$B$6/100*C39</f>
        <v/>
      </c>
      <c r="I39" s="12">
        <f>Calculator!$B$4*Calculator!$B$7/100*D39</f>
        <v/>
      </c>
      <c r="J39" s="12">
        <f>Calculator!$B$4*Calculator!$B$8/100*E39</f>
        <v/>
      </c>
      <c r="K39" s="12">
        <f>SUM(G39:J39)</f>
        <v/>
      </c>
      <c r="L39" s="12">
        <f>K39/F39</f>
        <v/>
      </c>
      <c r="M39" s="12">
        <f>MAX(M38,K39)</f>
        <v/>
      </c>
      <c r="N39" s="13">
        <f>K39/M39-1</f>
        <v/>
      </c>
      <c r="O39" s="12">
        <f>Calculator!$B$4*B39</f>
        <v/>
      </c>
      <c r="P39" s="12">
        <f>Calculator!$B$4*C39</f>
        <v/>
      </c>
      <c r="Q39" s="12">
        <f>Calculator!$B$4*D39</f>
        <v/>
      </c>
      <c r="R39" s="12">
        <f>Calculator!$B$4*F39</f>
        <v/>
      </c>
    </row>
    <row r="40">
      <c r="A40" s="6">
        <f>Data!A40</f>
        <v/>
      </c>
      <c r="B40" s="16">
        <f>Data!C40/Data!$C$5</f>
        <v/>
      </c>
      <c r="C40" s="16">
        <f>Data!G40/Data!$G$5</f>
        <v/>
      </c>
      <c r="D40" s="16">
        <f>D39*(1+Data!I40/100)</f>
        <v/>
      </c>
      <c r="E40" s="16" t="n">
        <v>1</v>
      </c>
      <c r="F40" s="16">
        <f>F39*(1+Data!H40/100)^(1/12)</f>
        <v/>
      </c>
      <c r="G40" s="12">
        <f>Calculator!$B$4*Calculator!$B$5/100*B40</f>
        <v/>
      </c>
      <c r="H40" s="12">
        <f>Calculator!$B$4*Calculator!$B$6/100*C40</f>
        <v/>
      </c>
      <c r="I40" s="12">
        <f>Calculator!$B$4*Calculator!$B$7/100*D40</f>
        <v/>
      </c>
      <c r="J40" s="12">
        <f>Calculator!$B$4*Calculator!$B$8/100*E40</f>
        <v/>
      </c>
      <c r="K40" s="12">
        <f>SUM(G40:J40)</f>
        <v/>
      </c>
      <c r="L40" s="12">
        <f>K40/F40</f>
        <v/>
      </c>
      <c r="M40" s="12">
        <f>MAX(M39,K40)</f>
        <v/>
      </c>
      <c r="N40" s="13">
        <f>K40/M40-1</f>
        <v/>
      </c>
      <c r="O40" s="12">
        <f>Calculator!$B$4*B40</f>
        <v/>
      </c>
      <c r="P40" s="12">
        <f>Calculator!$B$4*C40</f>
        <v/>
      </c>
      <c r="Q40" s="12">
        <f>Calculator!$B$4*D40</f>
        <v/>
      </c>
      <c r="R40" s="12">
        <f>Calculator!$B$4*F40</f>
        <v/>
      </c>
    </row>
    <row r="41">
      <c r="A41" s="6">
        <f>Data!A41</f>
        <v/>
      </c>
      <c r="B41" s="16">
        <f>Data!C41/Data!$C$5</f>
        <v/>
      </c>
      <c r="C41" s="16">
        <f>Data!G41/Data!$G$5</f>
        <v/>
      </c>
      <c r="D41" s="16">
        <f>D40*(1+Data!I41/100)</f>
        <v/>
      </c>
      <c r="E41" s="16" t="n">
        <v>1</v>
      </c>
      <c r="F41" s="16">
        <f>F40*(1+Data!H41/100)^(1/12)</f>
        <v/>
      </c>
      <c r="G41" s="12">
        <f>Calculator!$B$4*Calculator!$B$5/100*B41</f>
        <v/>
      </c>
      <c r="H41" s="12">
        <f>Calculator!$B$4*Calculator!$B$6/100*C41</f>
        <v/>
      </c>
      <c r="I41" s="12">
        <f>Calculator!$B$4*Calculator!$B$7/100*D41</f>
        <v/>
      </c>
      <c r="J41" s="12">
        <f>Calculator!$B$4*Calculator!$B$8/100*E41</f>
        <v/>
      </c>
      <c r="K41" s="12">
        <f>SUM(G41:J41)</f>
        <v/>
      </c>
      <c r="L41" s="12">
        <f>K41/F41</f>
        <v/>
      </c>
      <c r="M41" s="12">
        <f>MAX(M40,K41)</f>
        <v/>
      </c>
      <c r="N41" s="13">
        <f>K41/M41-1</f>
        <v/>
      </c>
      <c r="O41" s="12">
        <f>Calculator!$B$4*B41</f>
        <v/>
      </c>
      <c r="P41" s="12">
        <f>Calculator!$B$4*C41</f>
        <v/>
      </c>
      <c r="Q41" s="12">
        <f>Calculator!$B$4*D41</f>
        <v/>
      </c>
      <c r="R41" s="12">
        <f>Calculator!$B$4*F41</f>
        <v/>
      </c>
    </row>
    <row r="42">
      <c r="A42" s="6">
        <f>Data!A42</f>
        <v/>
      </c>
      <c r="B42" s="16">
        <f>Data!C42/Data!$C$5</f>
        <v/>
      </c>
      <c r="C42" s="16">
        <f>Data!G42/Data!$G$5</f>
        <v/>
      </c>
      <c r="D42" s="16">
        <f>D41*(1+Data!I42/100)</f>
        <v/>
      </c>
      <c r="E42" s="16" t="n">
        <v>1</v>
      </c>
      <c r="F42" s="16">
        <f>F41*(1+Data!H42/100)^(1/12)</f>
        <v/>
      </c>
      <c r="G42" s="12">
        <f>Calculator!$B$4*Calculator!$B$5/100*B42</f>
        <v/>
      </c>
      <c r="H42" s="12">
        <f>Calculator!$B$4*Calculator!$B$6/100*C42</f>
        <v/>
      </c>
      <c r="I42" s="12">
        <f>Calculator!$B$4*Calculator!$B$7/100*D42</f>
        <v/>
      </c>
      <c r="J42" s="12">
        <f>Calculator!$B$4*Calculator!$B$8/100*E42</f>
        <v/>
      </c>
      <c r="K42" s="12">
        <f>SUM(G42:J42)</f>
        <v/>
      </c>
      <c r="L42" s="12">
        <f>K42/F42</f>
        <v/>
      </c>
      <c r="M42" s="12">
        <f>MAX(M41,K42)</f>
        <v/>
      </c>
      <c r="N42" s="13">
        <f>K42/M42-1</f>
        <v/>
      </c>
      <c r="O42" s="12">
        <f>Calculator!$B$4*B42</f>
        <v/>
      </c>
      <c r="P42" s="12">
        <f>Calculator!$B$4*C42</f>
        <v/>
      </c>
      <c r="Q42" s="12">
        <f>Calculator!$B$4*D42</f>
        <v/>
      </c>
      <c r="R42" s="12">
        <f>Calculator!$B$4*F42</f>
        <v/>
      </c>
    </row>
    <row r="43">
      <c r="A43" s="6">
        <f>Data!A43</f>
        <v/>
      </c>
      <c r="B43" s="16">
        <f>Data!C43/Data!$C$5</f>
        <v/>
      </c>
      <c r="C43" s="16">
        <f>Data!G43/Data!$G$5</f>
        <v/>
      </c>
      <c r="D43" s="16">
        <f>D42*(1+Data!I43/100)</f>
        <v/>
      </c>
      <c r="E43" s="16" t="n">
        <v>1</v>
      </c>
      <c r="F43" s="16">
        <f>F42*(1+Data!H43/100)^(1/12)</f>
        <v/>
      </c>
      <c r="G43" s="12">
        <f>Calculator!$B$4*Calculator!$B$5/100*B43</f>
        <v/>
      </c>
      <c r="H43" s="12">
        <f>Calculator!$B$4*Calculator!$B$6/100*C43</f>
        <v/>
      </c>
      <c r="I43" s="12">
        <f>Calculator!$B$4*Calculator!$B$7/100*D43</f>
        <v/>
      </c>
      <c r="J43" s="12">
        <f>Calculator!$B$4*Calculator!$B$8/100*E43</f>
        <v/>
      </c>
      <c r="K43" s="12">
        <f>SUM(G43:J43)</f>
        <v/>
      </c>
      <c r="L43" s="12">
        <f>K43/F43</f>
        <v/>
      </c>
      <c r="M43" s="12">
        <f>MAX(M42,K43)</f>
        <v/>
      </c>
      <c r="N43" s="13">
        <f>K43/M43-1</f>
        <v/>
      </c>
      <c r="O43" s="12">
        <f>Calculator!$B$4*B43</f>
        <v/>
      </c>
      <c r="P43" s="12">
        <f>Calculator!$B$4*C43</f>
        <v/>
      </c>
      <c r="Q43" s="12">
        <f>Calculator!$B$4*D43</f>
        <v/>
      </c>
      <c r="R43" s="12">
        <f>Calculator!$B$4*F43</f>
        <v/>
      </c>
    </row>
    <row r="44">
      <c r="A44" s="6">
        <f>Data!A44</f>
        <v/>
      </c>
      <c r="B44" s="16">
        <f>Data!C44/Data!$C$5</f>
        <v/>
      </c>
      <c r="C44" s="16">
        <f>Data!G44/Data!$G$5</f>
        <v/>
      </c>
      <c r="D44" s="16">
        <f>D43*(1+Data!I44/100)</f>
        <v/>
      </c>
      <c r="E44" s="16" t="n">
        <v>1</v>
      </c>
      <c r="F44" s="16">
        <f>F43*(1+Data!H44/100)^(1/12)</f>
        <v/>
      </c>
      <c r="G44" s="12">
        <f>Calculator!$B$4*Calculator!$B$5/100*B44</f>
        <v/>
      </c>
      <c r="H44" s="12">
        <f>Calculator!$B$4*Calculator!$B$6/100*C44</f>
        <v/>
      </c>
      <c r="I44" s="12">
        <f>Calculator!$B$4*Calculator!$B$7/100*D44</f>
        <v/>
      </c>
      <c r="J44" s="12">
        <f>Calculator!$B$4*Calculator!$B$8/100*E44</f>
        <v/>
      </c>
      <c r="K44" s="12">
        <f>SUM(G44:J44)</f>
        <v/>
      </c>
      <c r="L44" s="12">
        <f>K44/F44</f>
        <v/>
      </c>
      <c r="M44" s="12">
        <f>MAX(M43,K44)</f>
        <v/>
      </c>
      <c r="N44" s="13">
        <f>K44/M44-1</f>
        <v/>
      </c>
      <c r="O44" s="12">
        <f>Calculator!$B$4*B44</f>
        <v/>
      </c>
      <c r="P44" s="12">
        <f>Calculator!$B$4*C44</f>
        <v/>
      </c>
      <c r="Q44" s="12">
        <f>Calculator!$B$4*D44</f>
        <v/>
      </c>
      <c r="R44" s="12">
        <f>Calculator!$B$4*F44</f>
        <v/>
      </c>
    </row>
    <row r="45">
      <c r="A45" s="6">
        <f>Data!A45</f>
        <v/>
      </c>
      <c r="B45" s="16">
        <f>Data!C45/Data!$C$5</f>
        <v/>
      </c>
      <c r="C45" s="16">
        <f>Data!G45/Data!$G$5</f>
        <v/>
      </c>
      <c r="D45" s="16">
        <f>D44*(1+Data!I45/100)</f>
        <v/>
      </c>
      <c r="E45" s="16" t="n">
        <v>1</v>
      </c>
      <c r="F45" s="16">
        <f>F44*(1+Data!H45/100)^(1/12)</f>
        <v/>
      </c>
      <c r="G45" s="12">
        <f>Calculator!$B$4*Calculator!$B$5/100*B45</f>
        <v/>
      </c>
      <c r="H45" s="12">
        <f>Calculator!$B$4*Calculator!$B$6/100*C45</f>
        <v/>
      </c>
      <c r="I45" s="12">
        <f>Calculator!$B$4*Calculator!$B$7/100*D45</f>
        <v/>
      </c>
      <c r="J45" s="12">
        <f>Calculator!$B$4*Calculator!$B$8/100*E45</f>
        <v/>
      </c>
      <c r="K45" s="12">
        <f>SUM(G45:J45)</f>
        <v/>
      </c>
      <c r="L45" s="12">
        <f>K45/F45</f>
        <v/>
      </c>
      <c r="M45" s="12">
        <f>MAX(M44,K45)</f>
        <v/>
      </c>
      <c r="N45" s="13">
        <f>K45/M45-1</f>
        <v/>
      </c>
      <c r="O45" s="12">
        <f>Calculator!$B$4*B45</f>
        <v/>
      </c>
      <c r="P45" s="12">
        <f>Calculator!$B$4*C45</f>
        <v/>
      </c>
      <c r="Q45" s="12">
        <f>Calculator!$B$4*D45</f>
        <v/>
      </c>
      <c r="R45" s="12">
        <f>Calculator!$B$4*F45</f>
        <v/>
      </c>
    </row>
    <row r="46">
      <c r="A46" s="6">
        <f>Data!A46</f>
        <v/>
      </c>
      <c r="B46" s="16">
        <f>Data!C46/Data!$C$5</f>
        <v/>
      </c>
      <c r="C46" s="16">
        <f>Data!G46/Data!$G$5</f>
        <v/>
      </c>
      <c r="D46" s="16">
        <f>D45*(1+Data!I46/100)</f>
        <v/>
      </c>
      <c r="E46" s="16" t="n">
        <v>1</v>
      </c>
      <c r="F46" s="16">
        <f>F45*(1+Data!H46/100)^(1/12)</f>
        <v/>
      </c>
      <c r="G46" s="12">
        <f>Calculator!$B$4*Calculator!$B$5/100*B46</f>
        <v/>
      </c>
      <c r="H46" s="12">
        <f>Calculator!$B$4*Calculator!$B$6/100*C46</f>
        <v/>
      </c>
      <c r="I46" s="12">
        <f>Calculator!$B$4*Calculator!$B$7/100*D46</f>
        <v/>
      </c>
      <c r="J46" s="12">
        <f>Calculator!$B$4*Calculator!$B$8/100*E46</f>
        <v/>
      </c>
      <c r="K46" s="12">
        <f>SUM(G46:J46)</f>
        <v/>
      </c>
      <c r="L46" s="12">
        <f>K46/F46</f>
        <v/>
      </c>
      <c r="M46" s="12">
        <f>MAX(M45,K46)</f>
        <v/>
      </c>
      <c r="N46" s="13">
        <f>K46/M46-1</f>
        <v/>
      </c>
      <c r="O46" s="12">
        <f>Calculator!$B$4*B46</f>
        <v/>
      </c>
      <c r="P46" s="12">
        <f>Calculator!$B$4*C46</f>
        <v/>
      </c>
      <c r="Q46" s="12">
        <f>Calculator!$B$4*D46</f>
        <v/>
      </c>
      <c r="R46" s="12">
        <f>Calculator!$B$4*F46</f>
        <v/>
      </c>
    </row>
    <row r="47">
      <c r="A47" s="6">
        <f>Data!A47</f>
        <v/>
      </c>
      <c r="B47" s="16">
        <f>Data!C47/Data!$C$5</f>
        <v/>
      </c>
      <c r="C47" s="16">
        <f>Data!G47/Data!$G$5</f>
        <v/>
      </c>
      <c r="D47" s="16">
        <f>D46*(1+Data!I47/100)</f>
        <v/>
      </c>
      <c r="E47" s="16" t="n">
        <v>1</v>
      </c>
      <c r="F47" s="16">
        <f>F46*(1+Data!H47/100)^(1/12)</f>
        <v/>
      </c>
      <c r="G47" s="12">
        <f>Calculator!$B$4*Calculator!$B$5/100*B47</f>
        <v/>
      </c>
      <c r="H47" s="12">
        <f>Calculator!$B$4*Calculator!$B$6/100*C47</f>
        <v/>
      </c>
      <c r="I47" s="12">
        <f>Calculator!$B$4*Calculator!$B$7/100*D47</f>
        <v/>
      </c>
      <c r="J47" s="12">
        <f>Calculator!$B$4*Calculator!$B$8/100*E47</f>
        <v/>
      </c>
      <c r="K47" s="12">
        <f>SUM(G47:J47)</f>
        <v/>
      </c>
      <c r="L47" s="12">
        <f>K47/F47</f>
        <v/>
      </c>
      <c r="M47" s="12">
        <f>MAX(M46,K47)</f>
        <v/>
      </c>
      <c r="N47" s="13">
        <f>K47/M47-1</f>
        <v/>
      </c>
      <c r="O47" s="12">
        <f>Calculator!$B$4*B47</f>
        <v/>
      </c>
      <c r="P47" s="12">
        <f>Calculator!$B$4*C47</f>
        <v/>
      </c>
      <c r="Q47" s="12">
        <f>Calculator!$B$4*D47</f>
        <v/>
      </c>
      <c r="R47" s="12">
        <f>Calculator!$B$4*F47</f>
        <v/>
      </c>
    </row>
    <row r="48">
      <c r="A48" s="6">
        <f>Data!A48</f>
        <v/>
      </c>
      <c r="B48" s="16">
        <f>Data!C48/Data!$C$5</f>
        <v/>
      </c>
      <c r="C48" s="16">
        <f>Data!G48/Data!$G$5</f>
        <v/>
      </c>
      <c r="D48" s="16">
        <f>D47*(1+Data!I48/100)</f>
        <v/>
      </c>
      <c r="E48" s="16" t="n">
        <v>1</v>
      </c>
      <c r="F48" s="16">
        <f>F47*(1+Data!H48/100)^(1/12)</f>
        <v/>
      </c>
      <c r="G48" s="12">
        <f>Calculator!$B$4*Calculator!$B$5/100*B48</f>
        <v/>
      </c>
      <c r="H48" s="12">
        <f>Calculator!$B$4*Calculator!$B$6/100*C48</f>
        <v/>
      </c>
      <c r="I48" s="12">
        <f>Calculator!$B$4*Calculator!$B$7/100*D48</f>
        <v/>
      </c>
      <c r="J48" s="12">
        <f>Calculator!$B$4*Calculator!$B$8/100*E48</f>
        <v/>
      </c>
      <c r="K48" s="12">
        <f>SUM(G48:J48)</f>
        <v/>
      </c>
      <c r="L48" s="12">
        <f>K48/F48</f>
        <v/>
      </c>
      <c r="M48" s="12">
        <f>MAX(M47,K48)</f>
        <v/>
      </c>
      <c r="N48" s="13">
        <f>K48/M48-1</f>
        <v/>
      </c>
      <c r="O48" s="12">
        <f>Calculator!$B$4*B48</f>
        <v/>
      </c>
      <c r="P48" s="12">
        <f>Calculator!$B$4*C48</f>
        <v/>
      </c>
      <c r="Q48" s="12">
        <f>Calculator!$B$4*D48</f>
        <v/>
      </c>
      <c r="R48" s="12">
        <f>Calculator!$B$4*F48</f>
        <v/>
      </c>
    </row>
    <row r="49">
      <c r="A49" s="6">
        <f>Data!A49</f>
        <v/>
      </c>
      <c r="B49" s="16">
        <f>Data!C49/Data!$C$5</f>
        <v/>
      </c>
      <c r="C49" s="16">
        <f>Data!G49/Data!$G$5</f>
        <v/>
      </c>
      <c r="D49" s="16">
        <f>D48*(1+Data!I49/100)</f>
        <v/>
      </c>
      <c r="E49" s="16" t="n">
        <v>1</v>
      </c>
      <c r="F49" s="16">
        <f>F48*(1+Data!H49/100)^(1/12)</f>
        <v/>
      </c>
      <c r="G49" s="12">
        <f>Calculator!$B$4*Calculator!$B$5/100*B49</f>
        <v/>
      </c>
      <c r="H49" s="12">
        <f>Calculator!$B$4*Calculator!$B$6/100*C49</f>
        <v/>
      </c>
      <c r="I49" s="12">
        <f>Calculator!$B$4*Calculator!$B$7/100*D49</f>
        <v/>
      </c>
      <c r="J49" s="12">
        <f>Calculator!$B$4*Calculator!$B$8/100*E49</f>
        <v/>
      </c>
      <c r="K49" s="12">
        <f>SUM(G49:J49)</f>
        <v/>
      </c>
      <c r="L49" s="12">
        <f>K49/F49</f>
        <v/>
      </c>
      <c r="M49" s="12">
        <f>MAX(M48,K49)</f>
        <v/>
      </c>
      <c r="N49" s="13">
        <f>K49/M49-1</f>
        <v/>
      </c>
      <c r="O49" s="12">
        <f>Calculator!$B$4*B49</f>
        <v/>
      </c>
      <c r="P49" s="12">
        <f>Calculator!$B$4*C49</f>
        <v/>
      </c>
      <c r="Q49" s="12">
        <f>Calculator!$B$4*D49</f>
        <v/>
      </c>
      <c r="R49" s="12">
        <f>Calculator!$B$4*F49</f>
        <v/>
      </c>
    </row>
    <row r="50">
      <c r="A50" s="6">
        <f>Data!A50</f>
        <v/>
      </c>
      <c r="B50" s="16">
        <f>Data!C50/Data!$C$5</f>
        <v/>
      </c>
      <c r="C50" s="16">
        <f>Data!G50/Data!$G$5</f>
        <v/>
      </c>
      <c r="D50" s="16">
        <f>D49*(1+Data!I50/100)</f>
        <v/>
      </c>
      <c r="E50" s="16" t="n">
        <v>1</v>
      </c>
      <c r="F50" s="16">
        <f>F49*(1+Data!H50/100)^(1/12)</f>
        <v/>
      </c>
      <c r="G50" s="12">
        <f>Calculator!$B$4*Calculator!$B$5/100*B50</f>
        <v/>
      </c>
      <c r="H50" s="12">
        <f>Calculator!$B$4*Calculator!$B$6/100*C50</f>
        <v/>
      </c>
      <c r="I50" s="12">
        <f>Calculator!$B$4*Calculator!$B$7/100*D50</f>
        <v/>
      </c>
      <c r="J50" s="12">
        <f>Calculator!$B$4*Calculator!$B$8/100*E50</f>
        <v/>
      </c>
      <c r="K50" s="12">
        <f>SUM(G50:J50)</f>
        <v/>
      </c>
      <c r="L50" s="12">
        <f>K50/F50</f>
        <v/>
      </c>
      <c r="M50" s="12">
        <f>MAX(M49,K50)</f>
        <v/>
      </c>
      <c r="N50" s="13">
        <f>K50/M50-1</f>
        <v/>
      </c>
      <c r="O50" s="12">
        <f>Calculator!$B$4*B50</f>
        <v/>
      </c>
      <c r="P50" s="12">
        <f>Calculator!$B$4*C50</f>
        <v/>
      </c>
      <c r="Q50" s="12">
        <f>Calculator!$B$4*D50</f>
        <v/>
      </c>
      <c r="R50" s="12">
        <f>Calculator!$B$4*F50</f>
        <v/>
      </c>
    </row>
    <row r="51">
      <c r="A51" s="6">
        <f>Data!A51</f>
        <v/>
      </c>
      <c r="B51" s="16">
        <f>Data!C51/Data!$C$5</f>
        <v/>
      </c>
      <c r="C51" s="16">
        <f>Data!G51/Data!$G$5</f>
        <v/>
      </c>
      <c r="D51" s="16">
        <f>D50*(1+Data!I51/100)</f>
        <v/>
      </c>
      <c r="E51" s="16" t="n">
        <v>1</v>
      </c>
      <c r="F51" s="16">
        <f>F50*(1+Data!H51/100)^(1/12)</f>
        <v/>
      </c>
      <c r="G51" s="12">
        <f>Calculator!$B$4*Calculator!$B$5/100*B51</f>
        <v/>
      </c>
      <c r="H51" s="12">
        <f>Calculator!$B$4*Calculator!$B$6/100*C51</f>
        <v/>
      </c>
      <c r="I51" s="12">
        <f>Calculator!$B$4*Calculator!$B$7/100*D51</f>
        <v/>
      </c>
      <c r="J51" s="12">
        <f>Calculator!$B$4*Calculator!$B$8/100*E51</f>
        <v/>
      </c>
      <c r="K51" s="12">
        <f>SUM(G51:J51)</f>
        <v/>
      </c>
      <c r="L51" s="12">
        <f>K51/F51</f>
        <v/>
      </c>
      <c r="M51" s="12">
        <f>MAX(M50,K51)</f>
        <v/>
      </c>
      <c r="N51" s="13">
        <f>K51/M51-1</f>
        <v/>
      </c>
      <c r="O51" s="12">
        <f>Calculator!$B$4*B51</f>
        <v/>
      </c>
      <c r="P51" s="12">
        <f>Calculator!$B$4*C51</f>
        <v/>
      </c>
      <c r="Q51" s="12">
        <f>Calculator!$B$4*D51</f>
        <v/>
      </c>
      <c r="R51" s="12">
        <f>Calculator!$B$4*F51</f>
        <v/>
      </c>
    </row>
    <row r="52">
      <c r="A52" s="6">
        <f>Data!A52</f>
        <v/>
      </c>
      <c r="B52" s="16">
        <f>Data!C52/Data!$C$5</f>
        <v/>
      </c>
      <c r="C52" s="16">
        <f>Data!G52/Data!$G$5</f>
        <v/>
      </c>
      <c r="D52" s="16">
        <f>D51*(1+Data!I52/100)</f>
        <v/>
      </c>
      <c r="E52" s="16" t="n">
        <v>1</v>
      </c>
      <c r="F52" s="16">
        <f>F51*(1+Data!H52/100)^(1/12)</f>
        <v/>
      </c>
      <c r="G52" s="12">
        <f>Calculator!$B$4*Calculator!$B$5/100*B52</f>
        <v/>
      </c>
      <c r="H52" s="12">
        <f>Calculator!$B$4*Calculator!$B$6/100*C52</f>
        <v/>
      </c>
      <c r="I52" s="12">
        <f>Calculator!$B$4*Calculator!$B$7/100*D52</f>
        <v/>
      </c>
      <c r="J52" s="12">
        <f>Calculator!$B$4*Calculator!$B$8/100*E52</f>
        <v/>
      </c>
      <c r="K52" s="12">
        <f>SUM(G52:J52)</f>
        <v/>
      </c>
      <c r="L52" s="12">
        <f>K52/F52</f>
        <v/>
      </c>
      <c r="M52" s="12">
        <f>MAX(M51,K52)</f>
        <v/>
      </c>
      <c r="N52" s="13">
        <f>K52/M52-1</f>
        <v/>
      </c>
      <c r="O52" s="12">
        <f>Calculator!$B$4*B52</f>
        <v/>
      </c>
      <c r="P52" s="12">
        <f>Calculator!$B$4*C52</f>
        <v/>
      </c>
      <c r="Q52" s="12">
        <f>Calculator!$B$4*D52</f>
        <v/>
      </c>
      <c r="R52" s="12">
        <f>Calculator!$B$4*F52</f>
        <v/>
      </c>
    </row>
    <row r="53">
      <c r="A53" s="6">
        <f>Data!A53</f>
        <v/>
      </c>
      <c r="B53" s="16">
        <f>Data!C53/Data!$C$5</f>
        <v/>
      </c>
      <c r="C53" s="16">
        <f>Data!G53/Data!$G$5</f>
        <v/>
      </c>
      <c r="D53" s="16">
        <f>D52*(1+Data!I53/100)</f>
        <v/>
      </c>
      <c r="E53" s="16" t="n">
        <v>1</v>
      </c>
      <c r="F53" s="16">
        <f>F52*(1+Data!H53/100)^(1/12)</f>
        <v/>
      </c>
      <c r="G53" s="12">
        <f>Calculator!$B$4*Calculator!$B$5/100*B53</f>
        <v/>
      </c>
      <c r="H53" s="12">
        <f>Calculator!$B$4*Calculator!$B$6/100*C53</f>
        <v/>
      </c>
      <c r="I53" s="12">
        <f>Calculator!$B$4*Calculator!$B$7/100*D53</f>
        <v/>
      </c>
      <c r="J53" s="12">
        <f>Calculator!$B$4*Calculator!$B$8/100*E53</f>
        <v/>
      </c>
      <c r="K53" s="12">
        <f>SUM(G53:J53)</f>
        <v/>
      </c>
      <c r="L53" s="12">
        <f>K53/F53</f>
        <v/>
      </c>
      <c r="M53" s="12">
        <f>MAX(M52,K53)</f>
        <v/>
      </c>
      <c r="N53" s="13">
        <f>K53/M53-1</f>
        <v/>
      </c>
      <c r="O53" s="12">
        <f>Calculator!$B$4*B53</f>
        <v/>
      </c>
      <c r="P53" s="12">
        <f>Calculator!$B$4*C53</f>
        <v/>
      </c>
      <c r="Q53" s="12">
        <f>Calculator!$B$4*D53</f>
        <v/>
      </c>
      <c r="R53" s="12">
        <f>Calculator!$B$4*F53</f>
        <v/>
      </c>
    </row>
    <row r="54">
      <c r="A54" s="6">
        <f>Data!A54</f>
        <v/>
      </c>
      <c r="B54" s="16">
        <f>Data!C54/Data!$C$5</f>
        <v/>
      </c>
      <c r="C54" s="16">
        <f>Data!G54/Data!$G$5</f>
        <v/>
      </c>
      <c r="D54" s="16">
        <f>D53*(1+Data!I54/100)</f>
        <v/>
      </c>
      <c r="E54" s="16" t="n">
        <v>1</v>
      </c>
      <c r="F54" s="16">
        <f>F53*(1+Data!H54/100)^(1/12)</f>
        <v/>
      </c>
      <c r="G54" s="12">
        <f>Calculator!$B$4*Calculator!$B$5/100*B54</f>
        <v/>
      </c>
      <c r="H54" s="12">
        <f>Calculator!$B$4*Calculator!$B$6/100*C54</f>
        <v/>
      </c>
      <c r="I54" s="12">
        <f>Calculator!$B$4*Calculator!$B$7/100*D54</f>
        <v/>
      </c>
      <c r="J54" s="12">
        <f>Calculator!$B$4*Calculator!$B$8/100*E54</f>
        <v/>
      </c>
      <c r="K54" s="12">
        <f>SUM(G54:J54)</f>
        <v/>
      </c>
      <c r="L54" s="12">
        <f>K54/F54</f>
        <v/>
      </c>
      <c r="M54" s="12">
        <f>MAX(M53,K54)</f>
        <v/>
      </c>
      <c r="N54" s="13">
        <f>K54/M54-1</f>
        <v/>
      </c>
      <c r="O54" s="12">
        <f>Calculator!$B$4*B54</f>
        <v/>
      </c>
      <c r="P54" s="12">
        <f>Calculator!$B$4*C54</f>
        <v/>
      </c>
      <c r="Q54" s="12">
        <f>Calculator!$B$4*D54</f>
        <v/>
      </c>
      <c r="R54" s="12">
        <f>Calculator!$B$4*F54</f>
        <v/>
      </c>
    </row>
    <row r="55">
      <c r="A55" s="6">
        <f>Data!A55</f>
        <v/>
      </c>
      <c r="B55" s="16">
        <f>Data!C55/Data!$C$5</f>
        <v/>
      </c>
      <c r="C55" s="16">
        <f>Data!G55/Data!$G$5</f>
        <v/>
      </c>
      <c r="D55" s="16">
        <f>D54*(1+Data!I55/100)</f>
        <v/>
      </c>
      <c r="E55" s="16" t="n">
        <v>1</v>
      </c>
      <c r="F55" s="16">
        <f>F54*(1+Data!H55/100)^(1/12)</f>
        <v/>
      </c>
      <c r="G55" s="12">
        <f>Calculator!$B$4*Calculator!$B$5/100*B55</f>
        <v/>
      </c>
      <c r="H55" s="12">
        <f>Calculator!$B$4*Calculator!$B$6/100*C55</f>
        <v/>
      </c>
      <c r="I55" s="12">
        <f>Calculator!$B$4*Calculator!$B$7/100*D55</f>
        <v/>
      </c>
      <c r="J55" s="12">
        <f>Calculator!$B$4*Calculator!$B$8/100*E55</f>
        <v/>
      </c>
      <c r="K55" s="12">
        <f>SUM(G55:J55)</f>
        <v/>
      </c>
      <c r="L55" s="12">
        <f>K55/F55</f>
        <v/>
      </c>
      <c r="M55" s="12">
        <f>MAX(M54,K55)</f>
        <v/>
      </c>
      <c r="N55" s="13">
        <f>K55/M55-1</f>
        <v/>
      </c>
      <c r="O55" s="12">
        <f>Calculator!$B$4*B55</f>
        <v/>
      </c>
      <c r="P55" s="12">
        <f>Calculator!$B$4*C55</f>
        <v/>
      </c>
      <c r="Q55" s="12">
        <f>Calculator!$B$4*D55</f>
        <v/>
      </c>
      <c r="R55" s="12">
        <f>Calculator!$B$4*F55</f>
        <v/>
      </c>
    </row>
    <row r="56">
      <c r="A56" s="6">
        <f>Data!A56</f>
        <v/>
      </c>
      <c r="B56" s="16">
        <f>Data!C56/Data!$C$5</f>
        <v/>
      </c>
      <c r="C56" s="16">
        <f>Data!G56/Data!$G$5</f>
        <v/>
      </c>
      <c r="D56" s="16">
        <f>D55*(1+Data!I56/100)</f>
        <v/>
      </c>
      <c r="E56" s="16" t="n">
        <v>1</v>
      </c>
      <c r="F56" s="16">
        <f>F55*(1+Data!H56/100)^(1/12)</f>
        <v/>
      </c>
      <c r="G56" s="12">
        <f>Calculator!$B$4*Calculator!$B$5/100*B56</f>
        <v/>
      </c>
      <c r="H56" s="12">
        <f>Calculator!$B$4*Calculator!$B$6/100*C56</f>
        <v/>
      </c>
      <c r="I56" s="12">
        <f>Calculator!$B$4*Calculator!$B$7/100*D56</f>
        <v/>
      </c>
      <c r="J56" s="12">
        <f>Calculator!$B$4*Calculator!$B$8/100*E56</f>
        <v/>
      </c>
      <c r="K56" s="12">
        <f>SUM(G56:J56)</f>
        <v/>
      </c>
      <c r="L56" s="12">
        <f>K56/F56</f>
        <v/>
      </c>
      <c r="M56" s="12">
        <f>MAX(M55,K56)</f>
        <v/>
      </c>
      <c r="N56" s="13">
        <f>K56/M56-1</f>
        <v/>
      </c>
      <c r="O56" s="12">
        <f>Calculator!$B$4*B56</f>
        <v/>
      </c>
      <c r="P56" s="12">
        <f>Calculator!$B$4*C56</f>
        <v/>
      </c>
      <c r="Q56" s="12">
        <f>Calculator!$B$4*D56</f>
        <v/>
      </c>
      <c r="R56" s="12">
        <f>Calculator!$B$4*F56</f>
        <v/>
      </c>
    </row>
    <row r="57">
      <c r="A57" s="6">
        <f>Data!A57</f>
        <v/>
      </c>
      <c r="B57" s="16">
        <f>Data!C57/Data!$C$5</f>
        <v/>
      </c>
      <c r="C57" s="16">
        <f>Data!G57/Data!$G$5</f>
        <v/>
      </c>
      <c r="D57" s="16">
        <f>D56*(1+Data!I57/100)</f>
        <v/>
      </c>
      <c r="E57" s="16" t="n">
        <v>1</v>
      </c>
      <c r="F57" s="16">
        <f>F56*(1+Data!H57/100)^(1/12)</f>
        <v/>
      </c>
      <c r="G57" s="12">
        <f>Calculator!$B$4*Calculator!$B$5/100*B57</f>
        <v/>
      </c>
      <c r="H57" s="12">
        <f>Calculator!$B$4*Calculator!$B$6/100*C57</f>
        <v/>
      </c>
      <c r="I57" s="12">
        <f>Calculator!$B$4*Calculator!$B$7/100*D57</f>
        <v/>
      </c>
      <c r="J57" s="12">
        <f>Calculator!$B$4*Calculator!$B$8/100*E57</f>
        <v/>
      </c>
      <c r="K57" s="12">
        <f>SUM(G57:J57)</f>
        <v/>
      </c>
      <c r="L57" s="12">
        <f>K57/F57</f>
        <v/>
      </c>
      <c r="M57" s="12">
        <f>MAX(M56,K57)</f>
        <v/>
      </c>
      <c r="N57" s="13">
        <f>K57/M57-1</f>
        <v/>
      </c>
      <c r="O57" s="12">
        <f>Calculator!$B$4*B57</f>
        <v/>
      </c>
      <c r="P57" s="12">
        <f>Calculator!$B$4*C57</f>
        <v/>
      </c>
      <c r="Q57" s="12">
        <f>Calculator!$B$4*D57</f>
        <v/>
      </c>
      <c r="R57" s="12">
        <f>Calculator!$B$4*F57</f>
        <v/>
      </c>
    </row>
    <row r="58">
      <c r="A58" s="6">
        <f>Data!A58</f>
        <v/>
      </c>
      <c r="B58" s="16">
        <f>Data!C58/Data!$C$5</f>
        <v/>
      </c>
      <c r="C58" s="16">
        <f>Data!G58/Data!$G$5</f>
        <v/>
      </c>
      <c r="D58" s="16">
        <f>D57*(1+Data!I58/100)</f>
        <v/>
      </c>
      <c r="E58" s="16" t="n">
        <v>1</v>
      </c>
      <c r="F58" s="16">
        <f>F57*(1+Data!H58/100)^(1/12)</f>
        <v/>
      </c>
      <c r="G58" s="12">
        <f>Calculator!$B$4*Calculator!$B$5/100*B58</f>
        <v/>
      </c>
      <c r="H58" s="12">
        <f>Calculator!$B$4*Calculator!$B$6/100*C58</f>
        <v/>
      </c>
      <c r="I58" s="12">
        <f>Calculator!$B$4*Calculator!$B$7/100*D58</f>
        <v/>
      </c>
      <c r="J58" s="12">
        <f>Calculator!$B$4*Calculator!$B$8/100*E58</f>
        <v/>
      </c>
      <c r="K58" s="12">
        <f>SUM(G58:J58)</f>
        <v/>
      </c>
      <c r="L58" s="12">
        <f>K58/F58</f>
        <v/>
      </c>
      <c r="M58" s="12">
        <f>MAX(M57,K58)</f>
        <v/>
      </c>
      <c r="N58" s="13">
        <f>K58/M58-1</f>
        <v/>
      </c>
      <c r="O58" s="12">
        <f>Calculator!$B$4*B58</f>
        <v/>
      </c>
      <c r="P58" s="12">
        <f>Calculator!$B$4*C58</f>
        <v/>
      </c>
      <c r="Q58" s="12">
        <f>Calculator!$B$4*D58</f>
        <v/>
      </c>
      <c r="R58" s="12">
        <f>Calculator!$B$4*F58</f>
        <v/>
      </c>
    </row>
    <row r="59">
      <c r="A59" s="6">
        <f>Data!A59</f>
        <v/>
      </c>
      <c r="B59" s="16">
        <f>Data!C59/Data!$C$5</f>
        <v/>
      </c>
      <c r="C59" s="16">
        <f>Data!G59/Data!$G$5</f>
        <v/>
      </c>
      <c r="D59" s="16">
        <f>D58*(1+Data!I59/100)</f>
        <v/>
      </c>
      <c r="E59" s="16" t="n">
        <v>1</v>
      </c>
      <c r="F59" s="16">
        <f>F58*(1+Data!H59/100)^(1/12)</f>
        <v/>
      </c>
      <c r="G59" s="12">
        <f>Calculator!$B$4*Calculator!$B$5/100*B59</f>
        <v/>
      </c>
      <c r="H59" s="12">
        <f>Calculator!$B$4*Calculator!$B$6/100*C59</f>
        <v/>
      </c>
      <c r="I59" s="12">
        <f>Calculator!$B$4*Calculator!$B$7/100*D59</f>
        <v/>
      </c>
      <c r="J59" s="12">
        <f>Calculator!$B$4*Calculator!$B$8/100*E59</f>
        <v/>
      </c>
      <c r="K59" s="12">
        <f>SUM(G59:J59)</f>
        <v/>
      </c>
      <c r="L59" s="12">
        <f>K59/F59</f>
        <v/>
      </c>
      <c r="M59" s="12">
        <f>MAX(M58,K59)</f>
        <v/>
      </c>
      <c r="N59" s="13">
        <f>K59/M59-1</f>
        <v/>
      </c>
      <c r="O59" s="12">
        <f>Calculator!$B$4*B59</f>
        <v/>
      </c>
      <c r="P59" s="12">
        <f>Calculator!$B$4*C59</f>
        <v/>
      </c>
      <c r="Q59" s="12">
        <f>Calculator!$B$4*D59</f>
        <v/>
      </c>
      <c r="R59" s="12">
        <f>Calculator!$B$4*F59</f>
        <v/>
      </c>
    </row>
    <row r="60">
      <c r="A60" s="6">
        <f>Data!A60</f>
        <v/>
      </c>
      <c r="B60" s="16">
        <f>Data!C60/Data!$C$5</f>
        <v/>
      </c>
      <c r="C60" s="16">
        <f>Data!G60/Data!$G$5</f>
        <v/>
      </c>
      <c r="D60" s="16">
        <f>D59*(1+Data!I60/100)</f>
        <v/>
      </c>
      <c r="E60" s="16" t="n">
        <v>1</v>
      </c>
      <c r="F60" s="16">
        <f>F59*(1+Data!H60/100)^(1/12)</f>
        <v/>
      </c>
      <c r="G60" s="12">
        <f>Calculator!$B$4*Calculator!$B$5/100*B60</f>
        <v/>
      </c>
      <c r="H60" s="12">
        <f>Calculator!$B$4*Calculator!$B$6/100*C60</f>
        <v/>
      </c>
      <c r="I60" s="12">
        <f>Calculator!$B$4*Calculator!$B$7/100*D60</f>
        <v/>
      </c>
      <c r="J60" s="12">
        <f>Calculator!$B$4*Calculator!$B$8/100*E60</f>
        <v/>
      </c>
      <c r="K60" s="12">
        <f>SUM(G60:J60)</f>
        <v/>
      </c>
      <c r="L60" s="12">
        <f>K60/F60</f>
        <v/>
      </c>
      <c r="M60" s="12">
        <f>MAX(M59,K60)</f>
        <v/>
      </c>
      <c r="N60" s="13">
        <f>K60/M60-1</f>
        <v/>
      </c>
      <c r="O60" s="12">
        <f>Calculator!$B$4*B60</f>
        <v/>
      </c>
      <c r="P60" s="12">
        <f>Calculator!$B$4*C60</f>
        <v/>
      </c>
      <c r="Q60" s="12">
        <f>Calculator!$B$4*D60</f>
        <v/>
      </c>
      <c r="R60" s="12">
        <f>Calculator!$B$4*F60</f>
        <v/>
      </c>
    </row>
    <row r="61">
      <c r="A61" s="6">
        <f>Data!A61</f>
        <v/>
      </c>
      <c r="B61" s="16">
        <f>Data!C61/Data!$C$5</f>
        <v/>
      </c>
      <c r="C61" s="16">
        <f>Data!G61/Data!$G$5</f>
        <v/>
      </c>
      <c r="D61" s="16">
        <f>D60*(1+Data!I61/100)</f>
        <v/>
      </c>
      <c r="E61" s="16" t="n">
        <v>1</v>
      </c>
      <c r="F61" s="16">
        <f>F60*(1+Data!H61/100)^(1/12)</f>
        <v/>
      </c>
      <c r="G61" s="12">
        <f>Calculator!$B$4*Calculator!$B$5/100*B61</f>
        <v/>
      </c>
      <c r="H61" s="12">
        <f>Calculator!$B$4*Calculator!$B$6/100*C61</f>
        <v/>
      </c>
      <c r="I61" s="12">
        <f>Calculator!$B$4*Calculator!$B$7/100*D61</f>
        <v/>
      </c>
      <c r="J61" s="12">
        <f>Calculator!$B$4*Calculator!$B$8/100*E61</f>
        <v/>
      </c>
      <c r="K61" s="12">
        <f>SUM(G61:J61)</f>
        <v/>
      </c>
      <c r="L61" s="12">
        <f>K61/F61</f>
        <v/>
      </c>
      <c r="M61" s="12">
        <f>MAX(M60,K61)</f>
        <v/>
      </c>
      <c r="N61" s="13">
        <f>K61/M61-1</f>
        <v/>
      </c>
      <c r="O61" s="12">
        <f>Calculator!$B$4*B61</f>
        <v/>
      </c>
      <c r="P61" s="12">
        <f>Calculator!$B$4*C61</f>
        <v/>
      </c>
      <c r="Q61" s="12">
        <f>Calculator!$B$4*D61</f>
        <v/>
      </c>
      <c r="R61" s="12">
        <f>Calculator!$B$4*F61</f>
        <v/>
      </c>
    </row>
    <row r="62">
      <c r="A62" s="6">
        <f>Data!A62</f>
        <v/>
      </c>
      <c r="B62" s="16">
        <f>Data!C62/Data!$C$5</f>
        <v/>
      </c>
      <c r="C62" s="16">
        <f>Data!G62/Data!$G$5</f>
        <v/>
      </c>
      <c r="D62" s="16">
        <f>D61*(1+Data!I62/100)</f>
        <v/>
      </c>
      <c r="E62" s="16" t="n">
        <v>1</v>
      </c>
      <c r="F62" s="16">
        <f>F61*(1+Data!H62/100)^(1/12)</f>
        <v/>
      </c>
      <c r="G62" s="12">
        <f>Calculator!$B$4*Calculator!$B$5/100*B62</f>
        <v/>
      </c>
      <c r="H62" s="12">
        <f>Calculator!$B$4*Calculator!$B$6/100*C62</f>
        <v/>
      </c>
      <c r="I62" s="12">
        <f>Calculator!$B$4*Calculator!$B$7/100*D62</f>
        <v/>
      </c>
      <c r="J62" s="12">
        <f>Calculator!$B$4*Calculator!$B$8/100*E62</f>
        <v/>
      </c>
      <c r="K62" s="12">
        <f>SUM(G62:J62)</f>
        <v/>
      </c>
      <c r="L62" s="12">
        <f>K62/F62</f>
        <v/>
      </c>
      <c r="M62" s="12">
        <f>MAX(M61,K62)</f>
        <v/>
      </c>
      <c r="N62" s="13">
        <f>K62/M62-1</f>
        <v/>
      </c>
      <c r="O62" s="12">
        <f>Calculator!$B$4*B62</f>
        <v/>
      </c>
      <c r="P62" s="12">
        <f>Calculator!$B$4*C62</f>
        <v/>
      </c>
      <c r="Q62" s="12">
        <f>Calculator!$B$4*D62</f>
        <v/>
      </c>
      <c r="R62" s="12">
        <f>Calculator!$B$4*F62</f>
        <v/>
      </c>
    </row>
    <row r="63">
      <c r="A63" s="6">
        <f>Data!A63</f>
        <v/>
      </c>
      <c r="B63" s="16">
        <f>Data!C63/Data!$C$5</f>
        <v/>
      </c>
      <c r="C63" s="16">
        <f>Data!G63/Data!$G$5</f>
        <v/>
      </c>
      <c r="D63" s="16">
        <f>D62*(1+Data!I63/100)</f>
        <v/>
      </c>
      <c r="E63" s="16" t="n">
        <v>1</v>
      </c>
      <c r="F63" s="16">
        <f>F62*(1+Data!H63/100)^(1/12)</f>
        <v/>
      </c>
      <c r="G63" s="12">
        <f>Calculator!$B$4*Calculator!$B$5/100*B63</f>
        <v/>
      </c>
      <c r="H63" s="12">
        <f>Calculator!$B$4*Calculator!$B$6/100*C63</f>
        <v/>
      </c>
      <c r="I63" s="12">
        <f>Calculator!$B$4*Calculator!$B$7/100*D63</f>
        <v/>
      </c>
      <c r="J63" s="12">
        <f>Calculator!$B$4*Calculator!$B$8/100*E63</f>
        <v/>
      </c>
      <c r="K63" s="12">
        <f>SUM(G63:J63)</f>
        <v/>
      </c>
      <c r="L63" s="12">
        <f>K63/F63</f>
        <v/>
      </c>
      <c r="M63" s="12">
        <f>MAX(M62,K63)</f>
        <v/>
      </c>
      <c r="N63" s="13">
        <f>K63/M63-1</f>
        <v/>
      </c>
      <c r="O63" s="12">
        <f>Calculator!$B$4*B63</f>
        <v/>
      </c>
      <c r="P63" s="12">
        <f>Calculator!$B$4*C63</f>
        <v/>
      </c>
      <c r="Q63" s="12">
        <f>Calculator!$B$4*D63</f>
        <v/>
      </c>
      <c r="R63" s="12">
        <f>Calculator!$B$4*F63</f>
        <v/>
      </c>
    </row>
    <row r="64">
      <c r="A64" s="6">
        <f>Data!A64</f>
        <v/>
      </c>
      <c r="B64" s="16">
        <f>Data!C64/Data!$C$5</f>
        <v/>
      </c>
      <c r="C64" s="16">
        <f>Data!G64/Data!$G$5</f>
        <v/>
      </c>
      <c r="D64" s="16">
        <f>D63*(1+Data!I64/100)</f>
        <v/>
      </c>
      <c r="E64" s="16" t="n">
        <v>1</v>
      </c>
      <c r="F64" s="16">
        <f>F63*(1+Data!H64/100)^(1/12)</f>
        <v/>
      </c>
      <c r="G64" s="12">
        <f>Calculator!$B$4*Calculator!$B$5/100*B64</f>
        <v/>
      </c>
      <c r="H64" s="12">
        <f>Calculator!$B$4*Calculator!$B$6/100*C64</f>
        <v/>
      </c>
      <c r="I64" s="12">
        <f>Calculator!$B$4*Calculator!$B$7/100*D64</f>
        <v/>
      </c>
      <c r="J64" s="12">
        <f>Calculator!$B$4*Calculator!$B$8/100*E64</f>
        <v/>
      </c>
      <c r="K64" s="12">
        <f>SUM(G64:J64)</f>
        <v/>
      </c>
      <c r="L64" s="12">
        <f>K64/F64</f>
        <v/>
      </c>
      <c r="M64" s="12">
        <f>MAX(M63,K64)</f>
        <v/>
      </c>
      <c r="N64" s="13">
        <f>K64/M64-1</f>
        <v/>
      </c>
      <c r="O64" s="12">
        <f>Calculator!$B$4*B64</f>
        <v/>
      </c>
      <c r="P64" s="12">
        <f>Calculator!$B$4*C64</f>
        <v/>
      </c>
      <c r="Q64" s="12">
        <f>Calculator!$B$4*D64</f>
        <v/>
      </c>
      <c r="R64" s="12">
        <f>Calculator!$B$4*F64</f>
        <v/>
      </c>
    </row>
    <row r="65">
      <c r="A65" s="6">
        <f>Data!A65</f>
        <v/>
      </c>
      <c r="B65" s="16">
        <f>Data!C65/Data!$C$5</f>
        <v/>
      </c>
      <c r="C65" s="16">
        <f>Data!G65/Data!$G$5</f>
        <v/>
      </c>
      <c r="D65" s="16">
        <f>D64*(1+Data!I65/100)</f>
        <v/>
      </c>
      <c r="E65" s="16" t="n">
        <v>1</v>
      </c>
      <c r="F65" s="16">
        <f>F64*(1+Data!H65/100)^(1/12)</f>
        <v/>
      </c>
      <c r="G65" s="12">
        <f>Calculator!$B$4*Calculator!$B$5/100*B65</f>
        <v/>
      </c>
      <c r="H65" s="12">
        <f>Calculator!$B$4*Calculator!$B$6/100*C65</f>
        <v/>
      </c>
      <c r="I65" s="12">
        <f>Calculator!$B$4*Calculator!$B$7/100*D65</f>
        <v/>
      </c>
      <c r="J65" s="12">
        <f>Calculator!$B$4*Calculator!$B$8/100*E65</f>
        <v/>
      </c>
      <c r="K65" s="12">
        <f>SUM(G65:J65)</f>
        <v/>
      </c>
      <c r="L65" s="12">
        <f>K65/F65</f>
        <v/>
      </c>
      <c r="M65" s="12">
        <f>MAX(M64,K65)</f>
        <v/>
      </c>
      <c r="N65" s="13">
        <f>K65/M65-1</f>
        <v/>
      </c>
      <c r="O65" s="12">
        <f>Calculator!$B$4*B65</f>
        <v/>
      </c>
      <c r="P65" s="12">
        <f>Calculator!$B$4*C65</f>
        <v/>
      </c>
      <c r="Q65" s="12">
        <f>Calculator!$B$4*D65</f>
        <v/>
      </c>
      <c r="R65" s="12">
        <f>Calculator!$B$4*F65</f>
        <v/>
      </c>
    </row>
    <row r="66">
      <c r="A66" s="6">
        <f>Data!A66</f>
        <v/>
      </c>
      <c r="B66" s="16">
        <f>Data!C66/Data!$C$5</f>
        <v/>
      </c>
      <c r="C66" s="16">
        <f>Data!G66/Data!$G$5</f>
        <v/>
      </c>
      <c r="D66" s="16">
        <f>D65*(1+Data!I66/100)</f>
        <v/>
      </c>
      <c r="E66" s="16" t="n">
        <v>1</v>
      </c>
      <c r="F66" s="16">
        <f>F65*(1+Data!H66/100)^(1/12)</f>
        <v/>
      </c>
      <c r="G66" s="12">
        <f>Calculator!$B$4*Calculator!$B$5/100*B66</f>
        <v/>
      </c>
      <c r="H66" s="12">
        <f>Calculator!$B$4*Calculator!$B$6/100*C66</f>
        <v/>
      </c>
      <c r="I66" s="12">
        <f>Calculator!$B$4*Calculator!$B$7/100*D66</f>
        <v/>
      </c>
      <c r="J66" s="12">
        <f>Calculator!$B$4*Calculator!$B$8/100*E66</f>
        <v/>
      </c>
      <c r="K66" s="12">
        <f>SUM(G66:J66)</f>
        <v/>
      </c>
      <c r="L66" s="12">
        <f>K66/F66</f>
        <v/>
      </c>
      <c r="M66" s="12">
        <f>MAX(M65,K66)</f>
        <v/>
      </c>
      <c r="N66" s="13">
        <f>K66/M66-1</f>
        <v/>
      </c>
      <c r="O66" s="12">
        <f>Calculator!$B$4*B66</f>
        <v/>
      </c>
      <c r="P66" s="12">
        <f>Calculator!$B$4*C66</f>
        <v/>
      </c>
      <c r="Q66" s="12">
        <f>Calculator!$B$4*D66</f>
        <v/>
      </c>
      <c r="R66" s="12">
        <f>Calculator!$B$4*F66</f>
        <v/>
      </c>
    </row>
    <row r="67">
      <c r="A67" s="6">
        <f>Data!A67</f>
        <v/>
      </c>
      <c r="B67" s="16">
        <f>Data!C67/Data!$C$5</f>
        <v/>
      </c>
      <c r="C67" s="16">
        <f>Data!G67/Data!$G$5</f>
        <v/>
      </c>
      <c r="D67" s="16">
        <f>D66*(1+Data!I67/100)</f>
        <v/>
      </c>
      <c r="E67" s="16" t="n">
        <v>1</v>
      </c>
      <c r="F67" s="16">
        <f>F66*(1+Data!H67/100)^(1/12)</f>
        <v/>
      </c>
      <c r="G67" s="12">
        <f>Calculator!$B$4*Calculator!$B$5/100*B67</f>
        <v/>
      </c>
      <c r="H67" s="12">
        <f>Calculator!$B$4*Calculator!$B$6/100*C67</f>
        <v/>
      </c>
      <c r="I67" s="12">
        <f>Calculator!$B$4*Calculator!$B$7/100*D67</f>
        <v/>
      </c>
      <c r="J67" s="12">
        <f>Calculator!$B$4*Calculator!$B$8/100*E67</f>
        <v/>
      </c>
      <c r="K67" s="12">
        <f>SUM(G67:J67)</f>
        <v/>
      </c>
      <c r="L67" s="12">
        <f>K67/F67</f>
        <v/>
      </c>
      <c r="M67" s="12">
        <f>MAX(M66,K67)</f>
        <v/>
      </c>
      <c r="N67" s="13">
        <f>K67/M67-1</f>
        <v/>
      </c>
      <c r="O67" s="12">
        <f>Calculator!$B$4*B67</f>
        <v/>
      </c>
      <c r="P67" s="12">
        <f>Calculator!$B$4*C67</f>
        <v/>
      </c>
      <c r="Q67" s="12">
        <f>Calculator!$B$4*D67</f>
        <v/>
      </c>
      <c r="R67" s="12">
        <f>Calculator!$B$4*F67</f>
        <v/>
      </c>
    </row>
    <row r="68">
      <c r="A68" s="6">
        <f>Data!A68</f>
        <v/>
      </c>
      <c r="B68" s="16">
        <f>Data!C68/Data!$C$5</f>
        <v/>
      </c>
      <c r="C68" s="16">
        <f>Data!G68/Data!$G$5</f>
        <v/>
      </c>
      <c r="D68" s="16">
        <f>D67*(1+Data!I68/100)</f>
        <v/>
      </c>
      <c r="E68" s="16" t="n">
        <v>1</v>
      </c>
      <c r="F68" s="16">
        <f>F67*(1+Data!H68/100)^(1/12)</f>
        <v/>
      </c>
      <c r="G68" s="12">
        <f>Calculator!$B$4*Calculator!$B$5/100*B68</f>
        <v/>
      </c>
      <c r="H68" s="12">
        <f>Calculator!$B$4*Calculator!$B$6/100*C68</f>
        <v/>
      </c>
      <c r="I68" s="12">
        <f>Calculator!$B$4*Calculator!$B$7/100*D68</f>
        <v/>
      </c>
      <c r="J68" s="12">
        <f>Calculator!$B$4*Calculator!$B$8/100*E68</f>
        <v/>
      </c>
      <c r="K68" s="12">
        <f>SUM(G68:J68)</f>
        <v/>
      </c>
      <c r="L68" s="12">
        <f>K68/F68</f>
        <v/>
      </c>
      <c r="M68" s="12">
        <f>MAX(M67,K68)</f>
        <v/>
      </c>
      <c r="N68" s="13">
        <f>K68/M68-1</f>
        <v/>
      </c>
      <c r="O68" s="12">
        <f>Calculator!$B$4*B68</f>
        <v/>
      </c>
      <c r="P68" s="12">
        <f>Calculator!$B$4*C68</f>
        <v/>
      </c>
      <c r="Q68" s="12">
        <f>Calculator!$B$4*D68</f>
        <v/>
      </c>
      <c r="R68" s="12">
        <f>Calculator!$B$4*F68</f>
        <v/>
      </c>
    </row>
    <row r="69">
      <c r="A69" s="6">
        <f>Data!A69</f>
        <v/>
      </c>
      <c r="B69" s="16">
        <f>Data!C69/Data!$C$5</f>
        <v/>
      </c>
      <c r="C69" s="16">
        <f>Data!G69/Data!$G$5</f>
        <v/>
      </c>
      <c r="D69" s="16">
        <f>D68*(1+Data!I69/100)</f>
        <v/>
      </c>
      <c r="E69" s="16" t="n">
        <v>1</v>
      </c>
      <c r="F69" s="16">
        <f>F68*(1+Data!H69/100)^(1/12)</f>
        <v/>
      </c>
      <c r="G69" s="12">
        <f>Calculator!$B$4*Calculator!$B$5/100*B69</f>
        <v/>
      </c>
      <c r="H69" s="12">
        <f>Calculator!$B$4*Calculator!$B$6/100*C69</f>
        <v/>
      </c>
      <c r="I69" s="12">
        <f>Calculator!$B$4*Calculator!$B$7/100*D69</f>
        <v/>
      </c>
      <c r="J69" s="12">
        <f>Calculator!$B$4*Calculator!$B$8/100*E69</f>
        <v/>
      </c>
      <c r="K69" s="12">
        <f>SUM(G69:J69)</f>
        <v/>
      </c>
      <c r="L69" s="12">
        <f>K69/F69</f>
        <v/>
      </c>
      <c r="M69" s="12">
        <f>MAX(M68,K69)</f>
        <v/>
      </c>
      <c r="N69" s="13">
        <f>K69/M69-1</f>
        <v/>
      </c>
      <c r="O69" s="12">
        <f>Calculator!$B$4*B69</f>
        <v/>
      </c>
      <c r="P69" s="12">
        <f>Calculator!$B$4*C69</f>
        <v/>
      </c>
      <c r="Q69" s="12">
        <f>Calculator!$B$4*D69</f>
        <v/>
      </c>
      <c r="R69" s="12">
        <f>Calculator!$B$4*F69</f>
        <v/>
      </c>
    </row>
    <row r="70">
      <c r="A70" s="6">
        <f>Data!A70</f>
        <v/>
      </c>
      <c r="B70" s="16">
        <f>Data!C70/Data!$C$5</f>
        <v/>
      </c>
      <c r="C70" s="16">
        <f>Data!G70/Data!$G$5</f>
        <v/>
      </c>
      <c r="D70" s="16">
        <f>D69*(1+Data!I70/100)</f>
        <v/>
      </c>
      <c r="E70" s="16" t="n">
        <v>1</v>
      </c>
      <c r="F70" s="16">
        <f>F69*(1+Data!H70/100)^(1/12)</f>
        <v/>
      </c>
      <c r="G70" s="12">
        <f>Calculator!$B$4*Calculator!$B$5/100*B70</f>
        <v/>
      </c>
      <c r="H70" s="12">
        <f>Calculator!$B$4*Calculator!$B$6/100*C70</f>
        <v/>
      </c>
      <c r="I70" s="12">
        <f>Calculator!$B$4*Calculator!$B$7/100*D70</f>
        <v/>
      </c>
      <c r="J70" s="12">
        <f>Calculator!$B$4*Calculator!$B$8/100*E70</f>
        <v/>
      </c>
      <c r="K70" s="12">
        <f>SUM(G70:J70)</f>
        <v/>
      </c>
      <c r="L70" s="12">
        <f>K70/F70</f>
        <v/>
      </c>
      <c r="M70" s="12">
        <f>MAX(M69,K70)</f>
        <v/>
      </c>
      <c r="N70" s="13">
        <f>K70/M70-1</f>
        <v/>
      </c>
      <c r="O70" s="12">
        <f>Calculator!$B$4*B70</f>
        <v/>
      </c>
      <c r="P70" s="12">
        <f>Calculator!$B$4*C70</f>
        <v/>
      </c>
      <c r="Q70" s="12">
        <f>Calculator!$B$4*D70</f>
        <v/>
      </c>
      <c r="R70" s="12">
        <f>Calculator!$B$4*F70</f>
        <v/>
      </c>
    </row>
    <row r="71">
      <c r="A71" s="6">
        <f>Data!A71</f>
        <v/>
      </c>
      <c r="B71" s="16">
        <f>Data!C71/Data!$C$5</f>
        <v/>
      </c>
      <c r="C71" s="16">
        <f>Data!G71/Data!$G$5</f>
        <v/>
      </c>
      <c r="D71" s="16">
        <f>D70*(1+Data!I71/100)</f>
        <v/>
      </c>
      <c r="E71" s="16" t="n">
        <v>1</v>
      </c>
      <c r="F71" s="16">
        <f>F70*(1+Data!H71/100)^(1/12)</f>
        <v/>
      </c>
      <c r="G71" s="12">
        <f>Calculator!$B$4*Calculator!$B$5/100*B71</f>
        <v/>
      </c>
      <c r="H71" s="12">
        <f>Calculator!$B$4*Calculator!$B$6/100*C71</f>
        <v/>
      </c>
      <c r="I71" s="12">
        <f>Calculator!$B$4*Calculator!$B$7/100*D71</f>
        <v/>
      </c>
      <c r="J71" s="12">
        <f>Calculator!$B$4*Calculator!$B$8/100*E71</f>
        <v/>
      </c>
      <c r="K71" s="12">
        <f>SUM(G71:J71)</f>
        <v/>
      </c>
      <c r="L71" s="12">
        <f>K71/F71</f>
        <v/>
      </c>
      <c r="M71" s="12">
        <f>MAX(M70,K71)</f>
        <v/>
      </c>
      <c r="N71" s="13">
        <f>K71/M71-1</f>
        <v/>
      </c>
      <c r="O71" s="12">
        <f>Calculator!$B$4*B71</f>
        <v/>
      </c>
      <c r="P71" s="12">
        <f>Calculator!$B$4*C71</f>
        <v/>
      </c>
      <c r="Q71" s="12">
        <f>Calculator!$B$4*D71</f>
        <v/>
      </c>
      <c r="R71" s="12">
        <f>Calculator!$B$4*F71</f>
        <v/>
      </c>
    </row>
    <row r="72">
      <c r="A72" s="6">
        <f>Data!A72</f>
        <v/>
      </c>
      <c r="B72" s="16">
        <f>Data!C72/Data!$C$5</f>
        <v/>
      </c>
      <c r="C72" s="16">
        <f>Data!G72/Data!$G$5</f>
        <v/>
      </c>
      <c r="D72" s="16">
        <f>D71*(1+Data!I72/100)</f>
        <v/>
      </c>
      <c r="E72" s="16" t="n">
        <v>1</v>
      </c>
      <c r="F72" s="16">
        <f>F71*(1+Data!H72/100)^(1/12)</f>
        <v/>
      </c>
      <c r="G72" s="12">
        <f>Calculator!$B$4*Calculator!$B$5/100*B72</f>
        <v/>
      </c>
      <c r="H72" s="12">
        <f>Calculator!$B$4*Calculator!$B$6/100*C72</f>
        <v/>
      </c>
      <c r="I72" s="12">
        <f>Calculator!$B$4*Calculator!$B$7/100*D72</f>
        <v/>
      </c>
      <c r="J72" s="12">
        <f>Calculator!$B$4*Calculator!$B$8/100*E72</f>
        <v/>
      </c>
      <c r="K72" s="12">
        <f>SUM(G72:J72)</f>
        <v/>
      </c>
      <c r="L72" s="12">
        <f>K72/F72</f>
        <v/>
      </c>
      <c r="M72" s="12">
        <f>MAX(M71,K72)</f>
        <v/>
      </c>
      <c r="N72" s="13">
        <f>K72/M72-1</f>
        <v/>
      </c>
      <c r="O72" s="12">
        <f>Calculator!$B$4*B72</f>
        <v/>
      </c>
      <c r="P72" s="12">
        <f>Calculator!$B$4*C72</f>
        <v/>
      </c>
      <c r="Q72" s="12">
        <f>Calculator!$B$4*D72</f>
        <v/>
      </c>
      <c r="R72" s="12">
        <f>Calculator!$B$4*F72</f>
        <v/>
      </c>
    </row>
    <row r="73">
      <c r="A73" s="6">
        <f>Data!A73</f>
        <v/>
      </c>
      <c r="B73" s="16">
        <f>Data!C73/Data!$C$5</f>
        <v/>
      </c>
      <c r="C73" s="16">
        <f>Data!G73/Data!$G$5</f>
        <v/>
      </c>
      <c r="D73" s="16">
        <f>D72*(1+Data!I73/100)</f>
        <v/>
      </c>
      <c r="E73" s="16" t="n">
        <v>1</v>
      </c>
      <c r="F73" s="16">
        <f>F72*(1+Data!H73/100)^(1/12)</f>
        <v/>
      </c>
      <c r="G73" s="12">
        <f>Calculator!$B$4*Calculator!$B$5/100*B73</f>
        <v/>
      </c>
      <c r="H73" s="12">
        <f>Calculator!$B$4*Calculator!$B$6/100*C73</f>
        <v/>
      </c>
      <c r="I73" s="12">
        <f>Calculator!$B$4*Calculator!$B$7/100*D73</f>
        <v/>
      </c>
      <c r="J73" s="12">
        <f>Calculator!$B$4*Calculator!$B$8/100*E73</f>
        <v/>
      </c>
      <c r="K73" s="12">
        <f>SUM(G73:J73)</f>
        <v/>
      </c>
      <c r="L73" s="12">
        <f>K73/F73</f>
        <v/>
      </c>
      <c r="M73" s="12">
        <f>MAX(M72,K73)</f>
        <v/>
      </c>
      <c r="N73" s="13">
        <f>K73/M73-1</f>
        <v/>
      </c>
      <c r="O73" s="12">
        <f>Calculator!$B$4*B73</f>
        <v/>
      </c>
      <c r="P73" s="12">
        <f>Calculator!$B$4*C73</f>
        <v/>
      </c>
      <c r="Q73" s="12">
        <f>Calculator!$B$4*D73</f>
        <v/>
      </c>
      <c r="R73" s="12">
        <f>Calculator!$B$4*F73</f>
        <v/>
      </c>
    </row>
    <row r="74">
      <c r="A74" s="6">
        <f>Data!A74</f>
        <v/>
      </c>
      <c r="B74" s="16">
        <f>Data!C74/Data!$C$5</f>
        <v/>
      </c>
      <c r="C74" s="16">
        <f>Data!G74/Data!$G$5</f>
        <v/>
      </c>
      <c r="D74" s="16">
        <f>D73*(1+Data!I74/100)</f>
        <v/>
      </c>
      <c r="E74" s="16" t="n">
        <v>1</v>
      </c>
      <c r="F74" s="16">
        <f>F73*(1+Data!H74/100)^(1/12)</f>
        <v/>
      </c>
      <c r="G74" s="12">
        <f>Calculator!$B$4*Calculator!$B$5/100*B74</f>
        <v/>
      </c>
      <c r="H74" s="12">
        <f>Calculator!$B$4*Calculator!$B$6/100*C74</f>
        <v/>
      </c>
      <c r="I74" s="12">
        <f>Calculator!$B$4*Calculator!$B$7/100*D74</f>
        <v/>
      </c>
      <c r="J74" s="12">
        <f>Calculator!$B$4*Calculator!$B$8/100*E74</f>
        <v/>
      </c>
      <c r="K74" s="12">
        <f>SUM(G74:J74)</f>
        <v/>
      </c>
      <c r="L74" s="12">
        <f>K74/F74</f>
        <v/>
      </c>
      <c r="M74" s="12">
        <f>MAX(M73,K74)</f>
        <v/>
      </c>
      <c r="N74" s="13">
        <f>K74/M74-1</f>
        <v/>
      </c>
      <c r="O74" s="12">
        <f>Calculator!$B$4*B74</f>
        <v/>
      </c>
      <c r="P74" s="12">
        <f>Calculator!$B$4*C74</f>
        <v/>
      </c>
      <c r="Q74" s="12">
        <f>Calculator!$B$4*D74</f>
        <v/>
      </c>
      <c r="R74" s="12">
        <f>Calculator!$B$4*F74</f>
        <v/>
      </c>
    </row>
    <row r="75">
      <c r="A75" s="6">
        <f>Data!A75</f>
        <v/>
      </c>
      <c r="B75" s="16">
        <f>Data!C75/Data!$C$5</f>
        <v/>
      </c>
      <c r="C75" s="16">
        <f>Data!G75/Data!$G$5</f>
        <v/>
      </c>
      <c r="D75" s="16">
        <f>D74*(1+Data!I75/100)</f>
        <v/>
      </c>
      <c r="E75" s="16" t="n">
        <v>1</v>
      </c>
      <c r="F75" s="16">
        <f>F74*(1+Data!H75/100)^(1/12)</f>
        <v/>
      </c>
      <c r="G75" s="12">
        <f>Calculator!$B$4*Calculator!$B$5/100*B75</f>
        <v/>
      </c>
      <c r="H75" s="12">
        <f>Calculator!$B$4*Calculator!$B$6/100*C75</f>
        <v/>
      </c>
      <c r="I75" s="12">
        <f>Calculator!$B$4*Calculator!$B$7/100*D75</f>
        <v/>
      </c>
      <c r="J75" s="12">
        <f>Calculator!$B$4*Calculator!$B$8/100*E75</f>
        <v/>
      </c>
      <c r="K75" s="12">
        <f>SUM(G75:J75)</f>
        <v/>
      </c>
      <c r="L75" s="12">
        <f>K75/F75</f>
        <v/>
      </c>
      <c r="M75" s="12">
        <f>MAX(M74,K75)</f>
        <v/>
      </c>
      <c r="N75" s="13">
        <f>K75/M75-1</f>
        <v/>
      </c>
      <c r="O75" s="12">
        <f>Calculator!$B$4*B75</f>
        <v/>
      </c>
      <c r="P75" s="12">
        <f>Calculator!$B$4*C75</f>
        <v/>
      </c>
      <c r="Q75" s="12">
        <f>Calculator!$B$4*D75</f>
        <v/>
      </c>
      <c r="R75" s="12">
        <f>Calculator!$B$4*F75</f>
        <v/>
      </c>
    </row>
    <row r="76">
      <c r="A76" s="6">
        <f>Data!A76</f>
        <v/>
      </c>
      <c r="B76" s="16">
        <f>Data!C76/Data!$C$5</f>
        <v/>
      </c>
      <c r="C76" s="16">
        <f>Data!G76/Data!$G$5</f>
        <v/>
      </c>
      <c r="D76" s="16">
        <f>D75*(1+Data!I76/100)</f>
        <v/>
      </c>
      <c r="E76" s="16" t="n">
        <v>1</v>
      </c>
      <c r="F76" s="16">
        <f>F75*(1+Data!H76/100)^(1/12)</f>
        <v/>
      </c>
      <c r="G76" s="12">
        <f>Calculator!$B$4*Calculator!$B$5/100*B76</f>
        <v/>
      </c>
      <c r="H76" s="12">
        <f>Calculator!$B$4*Calculator!$B$6/100*C76</f>
        <v/>
      </c>
      <c r="I76" s="12">
        <f>Calculator!$B$4*Calculator!$B$7/100*D76</f>
        <v/>
      </c>
      <c r="J76" s="12">
        <f>Calculator!$B$4*Calculator!$B$8/100*E76</f>
        <v/>
      </c>
      <c r="K76" s="12">
        <f>SUM(G76:J76)</f>
        <v/>
      </c>
      <c r="L76" s="12">
        <f>K76/F76</f>
        <v/>
      </c>
      <c r="M76" s="12">
        <f>MAX(M75,K76)</f>
        <v/>
      </c>
      <c r="N76" s="13">
        <f>K76/M76-1</f>
        <v/>
      </c>
      <c r="O76" s="12">
        <f>Calculator!$B$4*B76</f>
        <v/>
      </c>
      <c r="P76" s="12">
        <f>Calculator!$B$4*C76</f>
        <v/>
      </c>
      <c r="Q76" s="12">
        <f>Calculator!$B$4*D76</f>
        <v/>
      </c>
      <c r="R76" s="12">
        <f>Calculator!$B$4*F76</f>
        <v/>
      </c>
    </row>
    <row r="77">
      <c r="A77" s="6">
        <f>Data!A77</f>
        <v/>
      </c>
      <c r="B77" s="16">
        <f>Data!C77/Data!$C$5</f>
        <v/>
      </c>
      <c r="C77" s="16">
        <f>Data!G77/Data!$G$5</f>
        <v/>
      </c>
      <c r="D77" s="16">
        <f>D76*(1+Data!I77/100)</f>
        <v/>
      </c>
      <c r="E77" s="16" t="n">
        <v>1</v>
      </c>
      <c r="F77" s="16">
        <f>F76*(1+Data!H77/100)^(1/12)</f>
        <v/>
      </c>
      <c r="G77" s="12">
        <f>Calculator!$B$4*Calculator!$B$5/100*B77</f>
        <v/>
      </c>
      <c r="H77" s="12">
        <f>Calculator!$B$4*Calculator!$B$6/100*C77</f>
        <v/>
      </c>
      <c r="I77" s="12">
        <f>Calculator!$B$4*Calculator!$B$7/100*D77</f>
        <v/>
      </c>
      <c r="J77" s="12">
        <f>Calculator!$B$4*Calculator!$B$8/100*E77</f>
        <v/>
      </c>
      <c r="K77" s="12">
        <f>SUM(G77:J77)</f>
        <v/>
      </c>
      <c r="L77" s="12">
        <f>K77/F77</f>
        <v/>
      </c>
      <c r="M77" s="12">
        <f>MAX(M76,K77)</f>
        <v/>
      </c>
      <c r="N77" s="13">
        <f>K77/M77-1</f>
        <v/>
      </c>
      <c r="O77" s="12">
        <f>Calculator!$B$4*B77</f>
        <v/>
      </c>
      <c r="P77" s="12">
        <f>Calculator!$B$4*C77</f>
        <v/>
      </c>
      <c r="Q77" s="12">
        <f>Calculator!$B$4*D77</f>
        <v/>
      </c>
      <c r="R77" s="12">
        <f>Calculator!$B$4*F77</f>
        <v/>
      </c>
    </row>
    <row r="78">
      <c r="A78" s="6">
        <f>Data!A78</f>
        <v/>
      </c>
      <c r="B78" s="16">
        <f>Data!C78/Data!$C$5</f>
        <v/>
      </c>
      <c r="C78" s="16">
        <f>Data!G78/Data!$G$5</f>
        <v/>
      </c>
      <c r="D78" s="16">
        <f>D77*(1+Data!I78/100)</f>
        <v/>
      </c>
      <c r="E78" s="16" t="n">
        <v>1</v>
      </c>
      <c r="F78" s="16">
        <f>F77*(1+Data!H78/100)^(1/12)</f>
        <v/>
      </c>
      <c r="G78" s="12">
        <f>Calculator!$B$4*Calculator!$B$5/100*B78</f>
        <v/>
      </c>
      <c r="H78" s="12">
        <f>Calculator!$B$4*Calculator!$B$6/100*C78</f>
        <v/>
      </c>
      <c r="I78" s="12">
        <f>Calculator!$B$4*Calculator!$B$7/100*D78</f>
        <v/>
      </c>
      <c r="J78" s="12">
        <f>Calculator!$B$4*Calculator!$B$8/100*E78</f>
        <v/>
      </c>
      <c r="K78" s="12">
        <f>SUM(G78:J78)</f>
        <v/>
      </c>
      <c r="L78" s="12">
        <f>K78/F78</f>
        <v/>
      </c>
      <c r="M78" s="12">
        <f>MAX(M77,K78)</f>
        <v/>
      </c>
      <c r="N78" s="13">
        <f>K78/M78-1</f>
        <v/>
      </c>
      <c r="O78" s="12">
        <f>Calculator!$B$4*B78</f>
        <v/>
      </c>
      <c r="P78" s="12">
        <f>Calculator!$B$4*C78</f>
        <v/>
      </c>
      <c r="Q78" s="12">
        <f>Calculator!$B$4*D78</f>
        <v/>
      </c>
      <c r="R78" s="12">
        <f>Calculator!$B$4*F78</f>
        <v/>
      </c>
    </row>
    <row r="79">
      <c r="A79" s="6">
        <f>Data!A79</f>
        <v/>
      </c>
      <c r="B79" s="16">
        <f>Data!C79/Data!$C$5</f>
        <v/>
      </c>
      <c r="C79" s="16">
        <f>Data!G79/Data!$G$5</f>
        <v/>
      </c>
      <c r="D79" s="16">
        <f>D78*(1+Data!I79/100)</f>
        <v/>
      </c>
      <c r="E79" s="16" t="n">
        <v>1</v>
      </c>
      <c r="F79" s="16">
        <f>F78*(1+Data!H79/100)^(1/12)</f>
        <v/>
      </c>
      <c r="G79" s="12">
        <f>Calculator!$B$4*Calculator!$B$5/100*B79</f>
        <v/>
      </c>
      <c r="H79" s="12">
        <f>Calculator!$B$4*Calculator!$B$6/100*C79</f>
        <v/>
      </c>
      <c r="I79" s="12">
        <f>Calculator!$B$4*Calculator!$B$7/100*D79</f>
        <v/>
      </c>
      <c r="J79" s="12">
        <f>Calculator!$B$4*Calculator!$B$8/100*E79</f>
        <v/>
      </c>
      <c r="K79" s="12">
        <f>SUM(G79:J79)</f>
        <v/>
      </c>
      <c r="L79" s="12">
        <f>K79/F79</f>
        <v/>
      </c>
      <c r="M79" s="12">
        <f>MAX(M78,K79)</f>
        <v/>
      </c>
      <c r="N79" s="13">
        <f>K79/M79-1</f>
        <v/>
      </c>
      <c r="O79" s="12">
        <f>Calculator!$B$4*B79</f>
        <v/>
      </c>
      <c r="P79" s="12">
        <f>Calculator!$B$4*C79</f>
        <v/>
      </c>
      <c r="Q79" s="12">
        <f>Calculator!$B$4*D79</f>
        <v/>
      </c>
      <c r="R79" s="12">
        <f>Calculator!$B$4*F79</f>
        <v/>
      </c>
    </row>
    <row r="80">
      <c r="A80" s="6">
        <f>Data!A80</f>
        <v/>
      </c>
      <c r="B80" s="16">
        <f>Data!C80/Data!$C$5</f>
        <v/>
      </c>
      <c r="C80" s="16">
        <f>Data!G80/Data!$G$5</f>
        <v/>
      </c>
      <c r="D80" s="16">
        <f>D79*(1+Data!I80/100)</f>
        <v/>
      </c>
      <c r="E80" s="16" t="n">
        <v>1</v>
      </c>
      <c r="F80" s="16">
        <f>F79*(1+Data!H80/100)^(1/12)</f>
        <v/>
      </c>
      <c r="G80" s="12">
        <f>Calculator!$B$4*Calculator!$B$5/100*B80</f>
        <v/>
      </c>
      <c r="H80" s="12">
        <f>Calculator!$B$4*Calculator!$B$6/100*C80</f>
        <v/>
      </c>
      <c r="I80" s="12">
        <f>Calculator!$B$4*Calculator!$B$7/100*D80</f>
        <v/>
      </c>
      <c r="J80" s="12">
        <f>Calculator!$B$4*Calculator!$B$8/100*E80</f>
        <v/>
      </c>
      <c r="K80" s="12">
        <f>SUM(G80:J80)</f>
        <v/>
      </c>
      <c r="L80" s="12">
        <f>K80/F80</f>
        <v/>
      </c>
      <c r="M80" s="12">
        <f>MAX(M79,K80)</f>
        <v/>
      </c>
      <c r="N80" s="13">
        <f>K80/M80-1</f>
        <v/>
      </c>
      <c r="O80" s="12">
        <f>Calculator!$B$4*B80</f>
        <v/>
      </c>
      <c r="P80" s="12">
        <f>Calculator!$B$4*C80</f>
        <v/>
      </c>
      <c r="Q80" s="12">
        <f>Calculator!$B$4*D80</f>
        <v/>
      </c>
      <c r="R80" s="12">
        <f>Calculator!$B$4*F80</f>
        <v/>
      </c>
    </row>
    <row r="81">
      <c r="A81" s="6">
        <f>Data!A81</f>
        <v/>
      </c>
      <c r="B81" s="16">
        <f>Data!C81/Data!$C$5</f>
        <v/>
      </c>
      <c r="C81" s="16">
        <f>Data!G81/Data!$G$5</f>
        <v/>
      </c>
      <c r="D81" s="16">
        <f>D80*(1+Data!I81/100)</f>
        <v/>
      </c>
      <c r="E81" s="16" t="n">
        <v>1</v>
      </c>
      <c r="F81" s="16">
        <f>F80*(1+Data!H81/100)^(1/12)</f>
        <v/>
      </c>
      <c r="G81" s="12">
        <f>Calculator!$B$4*Calculator!$B$5/100*B81</f>
        <v/>
      </c>
      <c r="H81" s="12">
        <f>Calculator!$B$4*Calculator!$B$6/100*C81</f>
        <v/>
      </c>
      <c r="I81" s="12">
        <f>Calculator!$B$4*Calculator!$B$7/100*D81</f>
        <v/>
      </c>
      <c r="J81" s="12">
        <f>Calculator!$B$4*Calculator!$B$8/100*E81</f>
        <v/>
      </c>
      <c r="K81" s="12">
        <f>SUM(G81:J81)</f>
        <v/>
      </c>
      <c r="L81" s="12">
        <f>K81/F81</f>
        <v/>
      </c>
      <c r="M81" s="12">
        <f>MAX(M80,K81)</f>
        <v/>
      </c>
      <c r="N81" s="13">
        <f>K81/M81-1</f>
        <v/>
      </c>
      <c r="O81" s="12">
        <f>Calculator!$B$4*B81</f>
        <v/>
      </c>
      <c r="P81" s="12">
        <f>Calculator!$B$4*C81</f>
        <v/>
      </c>
      <c r="Q81" s="12">
        <f>Calculator!$B$4*D81</f>
        <v/>
      </c>
      <c r="R81" s="12">
        <f>Calculator!$B$4*F81</f>
        <v/>
      </c>
    </row>
    <row r="82">
      <c r="A82" s="6">
        <f>Data!A82</f>
        <v/>
      </c>
      <c r="B82" s="16">
        <f>Data!C82/Data!$C$5</f>
        <v/>
      </c>
      <c r="C82" s="16">
        <f>Data!G82/Data!$G$5</f>
        <v/>
      </c>
      <c r="D82" s="16">
        <f>D81*(1+Data!I82/100)</f>
        <v/>
      </c>
      <c r="E82" s="16" t="n">
        <v>1</v>
      </c>
      <c r="F82" s="16">
        <f>F81*(1+Data!H82/100)^(1/12)</f>
        <v/>
      </c>
      <c r="G82" s="12">
        <f>Calculator!$B$4*Calculator!$B$5/100*B82</f>
        <v/>
      </c>
      <c r="H82" s="12">
        <f>Calculator!$B$4*Calculator!$B$6/100*C82</f>
        <v/>
      </c>
      <c r="I82" s="12">
        <f>Calculator!$B$4*Calculator!$B$7/100*D82</f>
        <v/>
      </c>
      <c r="J82" s="12">
        <f>Calculator!$B$4*Calculator!$B$8/100*E82</f>
        <v/>
      </c>
      <c r="K82" s="12">
        <f>SUM(G82:J82)</f>
        <v/>
      </c>
      <c r="L82" s="12">
        <f>K82/F82</f>
        <v/>
      </c>
      <c r="M82" s="12">
        <f>MAX(M81,K82)</f>
        <v/>
      </c>
      <c r="N82" s="13">
        <f>K82/M82-1</f>
        <v/>
      </c>
      <c r="O82" s="12">
        <f>Calculator!$B$4*B82</f>
        <v/>
      </c>
      <c r="P82" s="12">
        <f>Calculator!$B$4*C82</f>
        <v/>
      </c>
      <c r="Q82" s="12">
        <f>Calculator!$B$4*D82</f>
        <v/>
      </c>
      <c r="R82" s="12">
        <f>Calculator!$B$4*F82</f>
        <v/>
      </c>
    </row>
    <row r="83">
      <c r="A83" s="6">
        <f>Data!A83</f>
        <v/>
      </c>
      <c r="B83" s="16">
        <f>Data!C83/Data!$C$5</f>
        <v/>
      </c>
      <c r="C83" s="16">
        <f>Data!G83/Data!$G$5</f>
        <v/>
      </c>
      <c r="D83" s="16">
        <f>D82*(1+Data!I83/100)</f>
        <v/>
      </c>
      <c r="E83" s="16" t="n">
        <v>1</v>
      </c>
      <c r="F83" s="16">
        <f>F82*(1+Data!H83/100)^(1/12)</f>
        <v/>
      </c>
      <c r="G83" s="12">
        <f>Calculator!$B$4*Calculator!$B$5/100*B83</f>
        <v/>
      </c>
      <c r="H83" s="12">
        <f>Calculator!$B$4*Calculator!$B$6/100*C83</f>
        <v/>
      </c>
      <c r="I83" s="12">
        <f>Calculator!$B$4*Calculator!$B$7/100*D83</f>
        <v/>
      </c>
      <c r="J83" s="12">
        <f>Calculator!$B$4*Calculator!$B$8/100*E83</f>
        <v/>
      </c>
      <c r="K83" s="12">
        <f>SUM(G83:J83)</f>
        <v/>
      </c>
      <c r="L83" s="12">
        <f>K83/F83</f>
        <v/>
      </c>
      <c r="M83" s="12">
        <f>MAX(M82,K83)</f>
        <v/>
      </c>
      <c r="N83" s="13">
        <f>K83/M83-1</f>
        <v/>
      </c>
      <c r="O83" s="12">
        <f>Calculator!$B$4*B83</f>
        <v/>
      </c>
      <c r="P83" s="12">
        <f>Calculator!$B$4*C83</f>
        <v/>
      </c>
      <c r="Q83" s="12">
        <f>Calculator!$B$4*D83</f>
        <v/>
      </c>
      <c r="R83" s="12">
        <f>Calculator!$B$4*F83</f>
        <v/>
      </c>
    </row>
    <row r="84">
      <c r="A84" s="6">
        <f>Data!A84</f>
        <v/>
      </c>
      <c r="B84" s="16">
        <f>Data!C84/Data!$C$5</f>
        <v/>
      </c>
      <c r="C84" s="16">
        <f>Data!G84/Data!$G$5</f>
        <v/>
      </c>
      <c r="D84" s="16">
        <f>D83*(1+Data!I84/100)</f>
        <v/>
      </c>
      <c r="E84" s="16" t="n">
        <v>1</v>
      </c>
      <c r="F84" s="16">
        <f>F83*(1+Data!H84/100)^(1/12)</f>
        <v/>
      </c>
      <c r="G84" s="12">
        <f>Calculator!$B$4*Calculator!$B$5/100*B84</f>
        <v/>
      </c>
      <c r="H84" s="12">
        <f>Calculator!$B$4*Calculator!$B$6/100*C84</f>
        <v/>
      </c>
      <c r="I84" s="12">
        <f>Calculator!$B$4*Calculator!$B$7/100*D84</f>
        <v/>
      </c>
      <c r="J84" s="12">
        <f>Calculator!$B$4*Calculator!$B$8/100*E84</f>
        <v/>
      </c>
      <c r="K84" s="12">
        <f>SUM(G84:J84)</f>
        <v/>
      </c>
      <c r="L84" s="12">
        <f>K84/F84</f>
        <v/>
      </c>
      <c r="M84" s="12">
        <f>MAX(M83,K84)</f>
        <v/>
      </c>
      <c r="N84" s="13">
        <f>K84/M84-1</f>
        <v/>
      </c>
      <c r="O84" s="12">
        <f>Calculator!$B$4*B84</f>
        <v/>
      </c>
      <c r="P84" s="12">
        <f>Calculator!$B$4*C84</f>
        <v/>
      </c>
      <c r="Q84" s="12">
        <f>Calculator!$B$4*D84</f>
        <v/>
      </c>
      <c r="R84" s="12">
        <f>Calculator!$B$4*F84</f>
        <v/>
      </c>
    </row>
    <row r="85">
      <c r="A85" s="6">
        <f>Data!A85</f>
        <v/>
      </c>
      <c r="B85" s="16">
        <f>Data!C85/Data!$C$5</f>
        <v/>
      </c>
      <c r="C85" s="16">
        <f>Data!G85/Data!$G$5</f>
        <v/>
      </c>
      <c r="D85" s="16">
        <f>D84*(1+Data!I85/100)</f>
        <v/>
      </c>
      <c r="E85" s="16" t="n">
        <v>1</v>
      </c>
      <c r="F85" s="16">
        <f>F84*(1+Data!H85/100)^(1/12)</f>
        <v/>
      </c>
      <c r="G85" s="12">
        <f>Calculator!$B$4*Calculator!$B$5/100*B85</f>
        <v/>
      </c>
      <c r="H85" s="12">
        <f>Calculator!$B$4*Calculator!$B$6/100*C85</f>
        <v/>
      </c>
      <c r="I85" s="12">
        <f>Calculator!$B$4*Calculator!$B$7/100*D85</f>
        <v/>
      </c>
      <c r="J85" s="12">
        <f>Calculator!$B$4*Calculator!$B$8/100*E85</f>
        <v/>
      </c>
      <c r="K85" s="12">
        <f>SUM(G85:J85)</f>
        <v/>
      </c>
      <c r="L85" s="12">
        <f>K85/F85</f>
        <v/>
      </c>
      <c r="M85" s="12">
        <f>MAX(M84,K85)</f>
        <v/>
      </c>
      <c r="N85" s="13">
        <f>K85/M85-1</f>
        <v/>
      </c>
      <c r="O85" s="12">
        <f>Calculator!$B$4*B85</f>
        <v/>
      </c>
      <c r="P85" s="12">
        <f>Calculator!$B$4*C85</f>
        <v/>
      </c>
      <c r="Q85" s="12">
        <f>Calculator!$B$4*D85</f>
        <v/>
      </c>
      <c r="R85" s="12">
        <f>Calculator!$B$4*F85</f>
        <v/>
      </c>
    </row>
    <row r="86">
      <c r="A86" s="6">
        <f>Data!A86</f>
        <v/>
      </c>
      <c r="B86" s="16">
        <f>Data!C86/Data!$C$5</f>
        <v/>
      </c>
      <c r="C86" s="16">
        <f>Data!G86/Data!$G$5</f>
        <v/>
      </c>
      <c r="D86" s="16">
        <f>D85*(1+Data!I86/100)</f>
        <v/>
      </c>
      <c r="E86" s="16" t="n">
        <v>1</v>
      </c>
      <c r="F86" s="16">
        <f>F85*(1+Data!H86/100)^(1/12)</f>
        <v/>
      </c>
      <c r="G86" s="12">
        <f>Calculator!$B$4*Calculator!$B$5/100*B86</f>
        <v/>
      </c>
      <c r="H86" s="12">
        <f>Calculator!$B$4*Calculator!$B$6/100*C86</f>
        <v/>
      </c>
      <c r="I86" s="12">
        <f>Calculator!$B$4*Calculator!$B$7/100*D86</f>
        <v/>
      </c>
      <c r="J86" s="12">
        <f>Calculator!$B$4*Calculator!$B$8/100*E86</f>
        <v/>
      </c>
      <c r="K86" s="12">
        <f>SUM(G86:J86)</f>
        <v/>
      </c>
      <c r="L86" s="12">
        <f>K86/F86</f>
        <v/>
      </c>
      <c r="M86" s="12">
        <f>MAX(M85,K86)</f>
        <v/>
      </c>
      <c r="N86" s="13">
        <f>K86/M86-1</f>
        <v/>
      </c>
      <c r="O86" s="12">
        <f>Calculator!$B$4*B86</f>
        <v/>
      </c>
      <c r="P86" s="12">
        <f>Calculator!$B$4*C86</f>
        <v/>
      </c>
      <c r="Q86" s="12">
        <f>Calculator!$B$4*D86</f>
        <v/>
      </c>
      <c r="R86" s="12">
        <f>Calculator!$B$4*F86</f>
        <v/>
      </c>
    </row>
    <row r="87">
      <c r="A87" s="6">
        <f>Data!A87</f>
        <v/>
      </c>
      <c r="B87" s="16">
        <f>Data!C87/Data!$C$5</f>
        <v/>
      </c>
      <c r="C87" s="16">
        <f>Data!G87/Data!$G$5</f>
        <v/>
      </c>
      <c r="D87" s="16">
        <f>D86*(1+Data!I87/100)</f>
        <v/>
      </c>
      <c r="E87" s="16" t="n">
        <v>1</v>
      </c>
      <c r="F87" s="16">
        <f>F86*(1+Data!H87/100)^(1/12)</f>
        <v/>
      </c>
      <c r="G87" s="12">
        <f>Calculator!$B$4*Calculator!$B$5/100*B87</f>
        <v/>
      </c>
      <c r="H87" s="12">
        <f>Calculator!$B$4*Calculator!$B$6/100*C87</f>
        <v/>
      </c>
      <c r="I87" s="12">
        <f>Calculator!$B$4*Calculator!$B$7/100*D87</f>
        <v/>
      </c>
      <c r="J87" s="12">
        <f>Calculator!$B$4*Calculator!$B$8/100*E87</f>
        <v/>
      </c>
      <c r="K87" s="12">
        <f>SUM(G87:J87)</f>
        <v/>
      </c>
      <c r="L87" s="12">
        <f>K87/F87</f>
        <v/>
      </c>
      <c r="M87" s="12">
        <f>MAX(M86,K87)</f>
        <v/>
      </c>
      <c r="N87" s="13">
        <f>K87/M87-1</f>
        <v/>
      </c>
      <c r="O87" s="12">
        <f>Calculator!$B$4*B87</f>
        <v/>
      </c>
      <c r="P87" s="12">
        <f>Calculator!$B$4*C87</f>
        <v/>
      </c>
      <c r="Q87" s="12">
        <f>Calculator!$B$4*D87</f>
        <v/>
      </c>
      <c r="R87" s="12">
        <f>Calculator!$B$4*F87</f>
        <v/>
      </c>
    </row>
    <row r="88">
      <c r="A88" s="6">
        <f>Data!A88</f>
        <v/>
      </c>
      <c r="B88" s="16">
        <f>Data!C88/Data!$C$5</f>
        <v/>
      </c>
      <c r="C88" s="16">
        <f>Data!G88/Data!$G$5</f>
        <v/>
      </c>
      <c r="D88" s="16">
        <f>D87*(1+Data!I88/100)</f>
        <v/>
      </c>
      <c r="E88" s="16" t="n">
        <v>1</v>
      </c>
      <c r="F88" s="16">
        <f>F87*(1+Data!H88/100)^(1/12)</f>
        <v/>
      </c>
      <c r="G88" s="12">
        <f>Calculator!$B$4*Calculator!$B$5/100*B88</f>
        <v/>
      </c>
      <c r="H88" s="12">
        <f>Calculator!$B$4*Calculator!$B$6/100*C88</f>
        <v/>
      </c>
      <c r="I88" s="12">
        <f>Calculator!$B$4*Calculator!$B$7/100*D88</f>
        <v/>
      </c>
      <c r="J88" s="12">
        <f>Calculator!$B$4*Calculator!$B$8/100*E88</f>
        <v/>
      </c>
      <c r="K88" s="12">
        <f>SUM(G88:J88)</f>
        <v/>
      </c>
      <c r="L88" s="12">
        <f>K88/F88</f>
        <v/>
      </c>
      <c r="M88" s="12">
        <f>MAX(M87,K88)</f>
        <v/>
      </c>
      <c r="N88" s="13">
        <f>K88/M88-1</f>
        <v/>
      </c>
      <c r="O88" s="12">
        <f>Calculator!$B$4*B88</f>
        <v/>
      </c>
      <c r="P88" s="12">
        <f>Calculator!$B$4*C88</f>
        <v/>
      </c>
      <c r="Q88" s="12">
        <f>Calculator!$B$4*D88</f>
        <v/>
      </c>
      <c r="R88" s="12">
        <f>Calculator!$B$4*F88</f>
        <v/>
      </c>
    </row>
    <row r="89">
      <c r="A89" s="6">
        <f>Data!A89</f>
        <v/>
      </c>
      <c r="B89" s="16">
        <f>Data!C89/Data!$C$5</f>
        <v/>
      </c>
      <c r="C89" s="16">
        <f>Data!G89/Data!$G$5</f>
        <v/>
      </c>
      <c r="D89" s="16">
        <f>D88*(1+Data!I89/100)</f>
        <v/>
      </c>
      <c r="E89" s="16" t="n">
        <v>1</v>
      </c>
      <c r="F89" s="16">
        <f>F88*(1+Data!H89/100)^(1/12)</f>
        <v/>
      </c>
      <c r="G89" s="12">
        <f>Calculator!$B$4*Calculator!$B$5/100*B89</f>
        <v/>
      </c>
      <c r="H89" s="12">
        <f>Calculator!$B$4*Calculator!$B$6/100*C89</f>
        <v/>
      </c>
      <c r="I89" s="12">
        <f>Calculator!$B$4*Calculator!$B$7/100*D89</f>
        <v/>
      </c>
      <c r="J89" s="12">
        <f>Calculator!$B$4*Calculator!$B$8/100*E89</f>
        <v/>
      </c>
      <c r="K89" s="12">
        <f>SUM(G89:J89)</f>
        <v/>
      </c>
      <c r="L89" s="12">
        <f>K89/F89</f>
        <v/>
      </c>
      <c r="M89" s="12">
        <f>MAX(M88,K89)</f>
        <v/>
      </c>
      <c r="N89" s="13">
        <f>K89/M89-1</f>
        <v/>
      </c>
      <c r="O89" s="12">
        <f>Calculator!$B$4*B89</f>
        <v/>
      </c>
      <c r="P89" s="12">
        <f>Calculator!$B$4*C89</f>
        <v/>
      </c>
      <c r="Q89" s="12">
        <f>Calculator!$B$4*D89</f>
        <v/>
      </c>
      <c r="R89" s="12">
        <f>Calculator!$B$4*F89</f>
        <v/>
      </c>
    </row>
    <row r="90">
      <c r="A90" s="6">
        <f>Data!A90</f>
        <v/>
      </c>
      <c r="B90" s="16">
        <f>Data!C90/Data!$C$5</f>
        <v/>
      </c>
      <c r="C90" s="16">
        <f>Data!G90/Data!$G$5</f>
        <v/>
      </c>
      <c r="D90" s="16">
        <f>D89*(1+Data!I90/100)</f>
        <v/>
      </c>
      <c r="E90" s="16" t="n">
        <v>1</v>
      </c>
      <c r="F90" s="16">
        <f>F89*(1+Data!H90/100)^(1/12)</f>
        <v/>
      </c>
      <c r="G90" s="12">
        <f>Calculator!$B$4*Calculator!$B$5/100*B90</f>
        <v/>
      </c>
      <c r="H90" s="12">
        <f>Calculator!$B$4*Calculator!$B$6/100*C90</f>
        <v/>
      </c>
      <c r="I90" s="12">
        <f>Calculator!$B$4*Calculator!$B$7/100*D90</f>
        <v/>
      </c>
      <c r="J90" s="12">
        <f>Calculator!$B$4*Calculator!$B$8/100*E90</f>
        <v/>
      </c>
      <c r="K90" s="12">
        <f>SUM(G90:J90)</f>
        <v/>
      </c>
      <c r="L90" s="12">
        <f>K90/F90</f>
        <v/>
      </c>
      <c r="M90" s="12">
        <f>MAX(M89,K90)</f>
        <v/>
      </c>
      <c r="N90" s="13">
        <f>K90/M90-1</f>
        <v/>
      </c>
      <c r="O90" s="12">
        <f>Calculator!$B$4*B90</f>
        <v/>
      </c>
      <c r="P90" s="12">
        <f>Calculator!$B$4*C90</f>
        <v/>
      </c>
      <c r="Q90" s="12">
        <f>Calculator!$B$4*D90</f>
        <v/>
      </c>
      <c r="R90" s="12">
        <f>Calculator!$B$4*F90</f>
        <v/>
      </c>
    </row>
    <row r="91">
      <c r="A91" s="6">
        <f>Data!A91</f>
        <v/>
      </c>
      <c r="B91" s="16">
        <f>Data!C91/Data!$C$5</f>
        <v/>
      </c>
      <c r="C91" s="16">
        <f>Data!G91/Data!$G$5</f>
        <v/>
      </c>
      <c r="D91" s="16">
        <f>D90*(1+Data!I91/100)</f>
        <v/>
      </c>
      <c r="E91" s="16" t="n">
        <v>1</v>
      </c>
      <c r="F91" s="16">
        <f>F90*(1+Data!H91/100)^(1/12)</f>
        <v/>
      </c>
      <c r="G91" s="12">
        <f>Calculator!$B$4*Calculator!$B$5/100*B91</f>
        <v/>
      </c>
      <c r="H91" s="12">
        <f>Calculator!$B$4*Calculator!$B$6/100*C91</f>
        <v/>
      </c>
      <c r="I91" s="12">
        <f>Calculator!$B$4*Calculator!$B$7/100*D91</f>
        <v/>
      </c>
      <c r="J91" s="12">
        <f>Calculator!$B$4*Calculator!$B$8/100*E91</f>
        <v/>
      </c>
      <c r="K91" s="12">
        <f>SUM(G91:J91)</f>
        <v/>
      </c>
      <c r="L91" s="12">
        <f>K91/F91</f>
        <v/>
      </c>
      <c r="M91" s="12">
        <f>MAX(M90,K91)</f>
        <v/>
      </c>
      <c r="N91" s="13">
        <f>K91/M91-1</f>
        <v/>
      </c>
      <c r="O91" s="12">
        <f>Calculator!$B$4*B91</f>
        <v/>
      </c>
      <c r="P91" s="12">
        <f>Calculator!$B$4*C91</f>
        <v/>
      </c>
      <c r="Q91" s="12">
        <f>Calculator!$B$4*D91</f>
        <v/>
      </c>
      <c r="R91" s="12">
        <f>Calculator!$B$4*F91</f>
        <v/>
      </c>
    </row>
    <row r="92">
      <c r="A92" s="6">
        <f>Data!A92</f>
        <v/>
      </c>
      <c r="B92" s="16">
        <f>Data!C92/Data!$C$5</f>
        <v/>
      </c>
      <c r="C92" s="16">
        <f>Data!G92/Data!$G$5</f>
        <v/>
      </c>
      <c r="D92" s="16">
        <f>D91*(1+Data!I92/100)</f>
        <v/>
      </c>
      <c r="E92" s="16" t="n">
        <v>1</v>
      </c>
      <c r="F92" s="16">
        <f>F91*(1+Data!H92/100)^(1/12)</f>
        <v/>
      </c>
      <c r="G92" s="12">
        <f>Calculator!$B$4*Calculator!$B$5/100*B92</f>
        <v/>
      </c>
      <c r="H92" s="12">
        <f>Calculator!$B$4*Calculator!$B$6/100*C92</f>
        <v/>
      </c>
      <c r="I92" s="12">
        <f>Calculator!$B$4*Calculator!$B$7/100*D92</f>
        <v/>
      </c>
      <c r="J92" s="12">
        <f>Calculator!$B$4*Calculator!$B$8/100*E92</f>
        <v/>
      </c>
      <c r="K92" s="12">
        <f>SUM(G92:J92)</f>
        <v/>
      </c>
      <c r="L92" s="12">
        <f>K92/F92</f>
        <v/>
      </c>
      <c r="M92" s="12">
        <f>MAX(M91,K92)</f>
        <v/>
      </c>
      <c r="N92" s="13">
        <f>K92/M92-1</f>
        <v/>
      </c>
      <c r="O92" s="12">
        <f>Calculator!$B$4*B92</f>
        <v/>
      </c>
      <c r="P92" s="12">
        <f>Calculator!$B$4*C92</f>
        <v/>
      </c>
      <c r="Q92" s="12">
        <f>Calculator!$B$4*D92</f>
        <v/>
      </c>
      <c r="R92" s="12">
        <f>Calculator!$B$4*F92</f>
        <v/>
      </c>
    </row>
    <row r="93">
      <c r="A93" s="6">
        <f>Data!A93</f>
        <v/>
      </c>
      <c r="B93" s="16">
        <f>Data!C93/Data!$C$5</f>
        <v/>
      </c>
      <c r="C93" s="16">
        <f>Data!G93/Data!$G$5</f>
        <v/>
      </c>
      <c r="D93" s="16">
        <f>D92*(1+Data!I93/100)</f>
        <v/>
      </c>
      <c r="E93" s="16" t="n">
        <v>1</v>
      </c>
      <c r="F93" s="16">
        <f>F92*(1+Data!H93/100)^(1/12)</f>
        <v/>
      </c>
      <c r="G93" s="12">
        <f>Calculator!$B$4*Calculator!$B$5/100*B93</f>
        <v/>
      </c>
      <c r="H93" s="12">
        <f>Calculator!$B$4*Calculator!$B$6/100*C93</f>
        <v/>
      </c>
      <c r="I93" s="12">
        <f>Calculator!$B$4*Calculator!$B$7/100*D93</f>
        <v/>
      </c>
      <c r="J93" s="12">
        <f>Calculator!$B$4*Calculator!$B$8/100*E93</f>
        <v/>
      </c>
      <c r="K93" s="12">
        <f>SUM(G93:J93)</f>
        <v/>
      </c>
      <c r="L93" s="12">
        <f>K93/F93</f>
        <v/>
      </c>
      <c r="M93" s="12">
        <f>MAX(M92,K93)</f>
        <v/>
      </c>
      <c r="N93" s="13">
        <f>K93/M93-1</f>
        <v/>
      </c>
      <c r="O93" s="12">
        <f>Calculator!$B$4*B93</f>
        <v/>
      </c>
      <c r="P93" s="12">
        <f>Calculator!$B$4*C93</f>
        <v/>
      </c>
      <c r="Q93" s="12">
        <f>Calculator!$B$4*D93</f>
        <v/>
      </c>
      <c r="R93" s="12">
        <f>Calculator!$B$4*F93</f>
        <v/>
      </c>
    </row>
    <row r="94">
      <c r="A94" s="6">
        <f>Data!A94</f>
        <v/>
      </c>
      <c r="B94" s="16">
        <f>Data!C94/Data!$C$5</f>
        <v/>
      </c>
      <c r="C94" s="16">
        <f>Data!G94/Data!$G$5</f>
        <v/>
      </c>
      <c r="D94" s="16">
        <f>D93*(1+Data!I94/100)</f>
        <v/>
      </c>
      <c r="E94" s="16" t="n">
        <v>1</v>
      </c>
      <c r="F94" s="16">
        <f>F93*(1+Data!H94/100)^(1/12)</f>
        <v/>
      </c>
      <c r="G94" s="12">
        <f>Calculator!$B$4*Calculator!$B$5/100*B94</f>
        <v/>
      </c>
      <c r="H94" s="12">
        <f>Calculator!$B$4*Calculator!$B$6/100*C94</f>
        <v/>
      </c>
      <c r="I94" s="12">
        <f>Calculator!$B$4*Calculator!$B$7/100*D94</f>
        <v/>
      </c>
      <c r="J94" s="12">
        <f>Calculator!$B$4*Calculator!$B$8/100*E94</f>
        <v/>
      </c>
      <c r="K94" s="12">
        <f>SUM(G94:J94)</f>
        <v/>
      </c>
      <c r="L94" s="12">
        <f>K94/F94</f>
        <v/>
      </c>
      <c r="M94" s="12">
        <f>MAX(M93,K94)</f>
        <v/>
      </c>
      <c r="N94" s="13">
        <f>K94/M94-1</f>
        <v/>
      </c>
      <c r="O94" s="12">
        <f>Calculator!$B$4*B94</f>
        <v/>
      </c>
      <c r="P94" s="12">
        <f>Calculator!$B$4*C94</f>
        <v/>
      </c>
      <c r="Q94" s="12">
        <f>Calculator!$B$4*D94</f>
        <v/>
      </c>
      <c r="R94" s="12">
        <f>Calculator!$B$4*F94</f>
        <v/>
      </c>
    </row>
    <row r="95">
      <c r="A95" s="6">
        <f>Data!A95</f>
        <v/>
      </c>
      <c r="B95" s="16">
        <f>Data!C95/Data!$C$5</f>
        <v/>
      </c>
      <c r="C95" s="16">
        <f>Data!G95/Data!$G$5</f>
        <v/>
      </c>
      <c r="D95" s="16">
        <f>D94*(1+Data!I95/100)</f>
        <v/>
      </c>
      <c r="E95" s="16" t="n">
        <v>1</v>
      </c>
      <c r="F95" s="16">
        <f>F94*(1+Data!H95/100)^(1/12)</f>
        <v/>
      </c>
      <c r="G95" s="12">
        <f>Calculator!$B$4*Calculator!$B$5/100*B95</f>
        <v/>
      </c>
      <c r="H95" s="12">
        <f>Calculator!$B$4*Calculator!$B$6/100*C95</f>
        <v/>
      </c>
      <c r="I95" s="12">
        <f>Calculator!$B$4*Calculator!$B$7/100*D95</f>
        <v/>
      </c>
      <c r="J95" s="12">
        <f>Calculator!$B$4*Calculator!$B$8/100*E95</f>
        <v/>
      </c>
      <c r="K95" s="12">
        <f>SUM(G95:J95)</f>
        <v/>
      </c>
      <c r="L95" s="12">
        <f>K95/F95</f>
        <v/>
      </c>
      <c r="M95" s="12">
        <f>MAX(M94,K95)</f>
        <v/>
      </c>
      <c r="N95" s="13">
        <f>K95/M95-1</f>
        <v/>
      </c>
      <c r="O95" s="12">
        <f>Calculator!$B$4*B95</f>
        <v/>
      </c>
      <c r="P95" s="12">
        <f>Calculator!$B$4*C95</f>
        <v/>
      </c>
      <c r="Q95" s="12">
        <f>Calculator!$B$4*D95</f>
        <v/>
      </c>
      <c r="R95" s="12">
        <f>Calculator!$B$4*F95</f>
        <v/>
      </c>
    </row>
    <row r="96">
      <c r="A96" s="6">
        <f>Data!A96</f>
        <v/>
      </c>
      <c r="B96" s="16">
        <f>Data!C96/Data!$C$5</f>
        <v/>
      </c>
      <c r="C96" s="16">
        <f>Data!G96/Data!$G$5</f>
        <v/>
      </c>
      <c r="D96" s="16">
        <f>D95*(1+Data!I96/100)</f>
        <v/>
      </c>
      <c r="E96" s="16" t="n">
        <v>1</v>
      </c>
      <c r="F96" s="16">
        <f>F95*(1+Data!H96/100)^(1/12)</f>
        <v/>
      </c>
      <c r="G96" s="12">
        <f>Calculator!$B$4*Calculator!$B$5/100*B96</f>
        <v/>
      </c>
      <c r="H96" s="12">
        <f>Calculator!$B$4*Calculator!$B$6/100*C96</f>
        <v/>
      </c>
      <c r="I96" s="12">
        <f>Calculator!$B$4*Calculator!$B$7/100*D96</f>
        <v/>
      </c>
      <c r="J96" s="12">
        <f>Calculator!$B$4*Calculator!$B$8/100*E96</f>
        <v/>
      </c>
      <c r="K96" s="12">
        <f>SUM(G96:J96)</f>
        <v/>
      </c>
      <c r="L96" s="12">
        <f>K96/F96</f>
        <v/>
      </c>
      <c r="M96" s="12">
        <f>MAX(M95,K96)</f>
        <v/>
      </c>
      <c r="N96" s="13">
        <f>K96/M96-1</f>
        <v/>
      </c>
      <c r="O96" s="12">
        <f>Calculator!$B$4*B96</f>
        <v/>
      </c>
      <c r="P96" s="12">
        <f>Calculator!$B$4*C96</f>
        <v/>
      </c>
      <c r="Q96" s="12">
        <f>Calculator!$B$4*D96</f>
        <v/>
      </c>
      <c r="R96" s="12">
        <f>Calculator!$B$4*F96</f>
        <v/>
      </c>
    </row>
    <row r="97">
      <c r="A97" s="6">
        <f>Data!A97</f>
        <v/>
      </c>
      <c r="B97" s="16">
        <f>Data!C97/Data!$C$5</f>
        <v/>
      </c>
      <c r="C97" s="16">
        <f>Data!G97/Data!$G$5</f>
        <v/>
      </c>
      <c r="D97" s="16">
        <f>D96*(1+Data!I97/100)</f>
        <v/>
      </c>
      <c r="E97" s="16" t="n">
        <v>1</v>
      </c>
      <c r="F97" s="16">
        <f>F96*(1+Data!H97/100)^(1/12)</f>
        <v/>
      </c>
      <c r="G97" s="12">
        <f>Calculator!$B$4*Calculator!$B$5/100*B97</f>
        <v/>
      </c>
      <c r="H97" s="12">
        <f>Calculator!$B$4*Calculator!$B$6/100*C97</f>
        <v/>
      </c>
      <c r="I97" s="12">
        <f>Calculator!$B$4*Calculator!$B$7/100*D97</f>
        <v/>
      </c>
      <c r="J97" s="12">
        <f>Calculator!$B$4*Calculator!$B$8/100*E97</f>
        <v/>
      </c>
      <c r="K97" s="12">
        <f>SUM(G97:J97)</f>
        <v/>
      </c>
      <c r="L97" s="12">
        <f>K97/F97</f>
        <v/>
      </c>
      <c r="M97" s="12">
        <f>MAX(M96,K97)</f>
        <v/>
      </c>
      <c r="N97" s="13">
        <f>K97/M97-1</f>
        <v/>
      </c>
      <c r="O97" s="12">
        <f>Calculator!$B$4*B97</f>
        <v/>
      </c>
      <c r="P97" s="12">
        <f>Calculator!$B$4*C97</f>
        <v/>
      </c>
      <c r="Q97" s="12">
        <f>Calculator!$B$4*D97</f>
        <v/>
      </c>
      <c r="R97" s="12">
        <f>Calculator!$B$4*F97</f>
        <v/>
      </c>
    </row>
    <row r="98">
      <c r="A98" s="6">
        <f>Data!A98</f>
        <v/>
      </c>
      <c r="B98" s="16">
        <f>Data!C98/Data!$C$5</f>
        <v/>
      </c>
      <c r="C98" s="16">
        <f>Data!G98/Data!$G$5</f>
        <v/>
      </c>
      <c r="D98" s="16">
        <f>D97*(1+Data!I98/100)</f>
        <v/>
      </c>
      <c r="E98" s="16" t="n">
        <v>1</v>
      </c>
      <c r="F98" s="16">
        <f>F97*(1+Data!H98/100)^(1/12)</f>
        <v/>
      </c>
      <c r="G98" s="12">
        <f>Calculator!$B$4*Calculator!$B$5/100*B98</f>
        <v/>
      </c>
      <c r="H98" s="12">
        <f>Calculator!$B$4*Calculator!$B$6/100*C98</f>
        <v/>
      </c>
      <c r="I98" s="12">
        <f>Calculator!$B$4*Calculator!$B$7/100*D98</f>
        <v/>
      </c>
      <c r="J98" s="12">
        <f>Calculator!$B$4*Calculator!$B$8/100*E98</f>
        <v/>
      </c>
      <c r="K98" s="12">
        <f>SUM(G98:J98)</f>
        <v/>
      </c>
      <c r="L98" s="12">
        <f>K98/F98</f>
        <v/>
      </c>
      <c r="M98" s="12">
        <f>MAX(M97,K98)</f>
        <v/>
      </c>
      <c r="N98" s="13">
        <f>K98/M98-1</f>
        <v/>
      </c>
      <c r="O98" s="12">
        <f>Calculator!$B$4*B98</f>
        <v/>
      </c>
      <c r="P98" s="12">
        <f>Calculator!$B$4*C98</f>
        <v/>
      </c>
      <c r="Q98" s="12">
        <f>Calculator!$B$4*D98</f>
        <v/>
      </c>
      <c r="R98" s="12">
        <f>Calculator!$B$4*F98</f>
        <v/>
      </c>
    </row>
    <row r="99">
      <c r="A99" s="6">
        <f>Data!A99</f>
        <v/>
      </c>
      <c r="B99" s="16">
        <f>Data!C99/Data!$C$5</f>
        <v/>
      </c>
      <c r="C99" s="16">
        <f>Data!G99/Data!$G$5</f>
        <v/>
      </c>
      <c r="D99" s="16">
        <f>D98*(1+Data!I99/100)</f>
        <v/>
      </c>
      <c r="E99" s="16" t="n">
        <v>1</v>
      </c>
      <c r="F99" s="16">
        <f>F98*(1+Data!H99/100)^(1/12)</f>
        <v/>
      </c>
      <c r="G99" s="12">
        <f>Calculator!$B$4*Calculator!$B$5/100*B99</f>
        <v/>
      </c>
      <c r="H99" s="12">
        <f>Calculator!$B$4*Calculator!$B$6/100*C99</f>
        <v/>
      </c>
      <c r="I99" s="12">
        <f>Calculator!$B$4*Calculator!$B$7/100*D99</f>
        <v/>
      </c>
      <c r="J99" s="12">
        <f>Calculator!$B$4*Calculator!$B$8/100*E99</f>
        <v/>
      </c>
      <c r="K99" s="12">
        <f>SUM(G99:J99)</f>
        <v/>
      </c>
      <c r="L99" s="12">
        <f>K99/F99</f>
        <v/>
      </c>
      <c r="M99" s="12">
        <f>MAX(M98,K99)</f>
        <v/>
      </c>
      <c r="N99" s="13">
        <f>K99/M99-1</f>
        <v/>
      </c>
      <c r="O99" s="12">
        <f>Calculator!$B$4*B99</f>
        <v/>
      </c>
      <c r="P99" s="12">
        <f>Calculator!$B$4*C99</f>
        <v/>
      </c>
      <c r="Q99" s="12">
        <f>Calculator!$B$4*D99</f>
        <v/>
      </c>
      <c r="R99" s="12">
        <f>Calculator!$B$4*F99</f>
        <v/>
      </c>
    </row>
    <row r="100">
      <c r="A100" s="6">
        <f>Data!A100</f>
        <v/>
      </c>
      <c r="B100" s="16">
        <f>Data!C100/Data!$C$5</f>
        <v/>
      </c>
      <c r="C100" s="16">
        <f>Data!G100/Data!$G$5</f>
        <v/>
      </c>
      <c r="D100" s="16">
        <f>D99*(1+Data!I100/100)</f>
        <v/>
      </c>
      <c r="E100" s="16" t="n">
        <v>1</v>
      </c>
      <c r="F100" s="16">
        <f>F99*(1+Data!H100/100)^(1/12)</f>
        <v/>
      </c>
      <c r="G100" s="12">
        <f>Calculator!$B$4*Calculator!$B$5/100*B100</f>
        <v/>
      </c>
      <c r="H100" s="12">
        <f>Calculator!$B$4*Calculator!$B$6/100*C100</f>
        <v/>
      </c>
      <c r="I100" s="12">
        <f>Calculator!$B$4*Calculator!$B$7/100*D100</f>
        <v/>
      </c>
      <c r="J100" s="12">
        <f>Calculator!$B$4*Calculator!$B$8/100*E100</f>
        <v/>
      </c>
      <c r="K100" s="12">
        <f>SUM(G100:J100)</f>
        <v/>
      </c>
      <c r="L100" s="12">
        <f>K100/F100</f>
        <v/>
      </c>
      <c r="M100" s="12">
        <f>MAX(M99,K100)</f>
        <v/>
      </c>
      <c r="N100" s="13">
        <f>K100/M100-1</f>
        <v/>
      </c>
      <c r="O100" s="12">
        <f>Calculator!$B$4*B100</f>
        <v/>
      </c>
      <c r="P100" s="12">
        <f>Calculator!$B$4*C100</f>
        <v/>
      </c>
      <c r="Q100" s="12">
        <f>Calculator!$B$4*D100</f>
        <v/>
      </c>
      <c r="R100" s="12">
        <f>Calculator!$B$4*F100</f>
        <v/>
      </c>
    </row>
    <row r="101">
      <c r="A101" s="6">
        <f>Data!A101</f>
        <v/>
      </c>
      <c r="B101" s="16">
        <f>Data!C101/Data!$C$5</f>
        <v/>
      </c>
      <c r="C101" s="16">
        <f>Data!G101/Data!$G$5</f>
        <v/>
      </c>
      <c r="D101" s="16">
        <f>D100*(1+Data!I101/100)</f>
        <v/>
      </c>
      <c r="E101" s="16" t="n">
        <v>1</v>
      </c>
      <c r="F101" s="16">
        <f>F100*(1+Data!H101/100)^(1/12)</f>
        <v/>
      </c>
      <c r="G101" s="12">
        <f>Calculator!$B$4*Calculator!$B$5/100*B101</f>
        <v/>
      </c>
      <c r="H101" s="12">
        <f>Calculator!$B$4*Calculator!$B$6/100*C101</f>
        <v/>
      </c>
      <c r="I101" s="12">
        <f>Calculator!$B$4*Calculator!$B$7/100*D101</f>
        <v/>
      </c>
      <c r="J101" s="12">
        <f>Calculator!$B$4*Calculator!$B$8/100*E101</f>
        <v/>
      </c>
      <c r="K101" s="12">
        <f>SUM(G101:J101)</f>
        <v/>
      </c>
      <c r="L101" s="12">
        <f>K101/F101</f>
        <v/>
      </c>
      <c r="M101" s="12">
        <f>MAX(M100,K101)</f>
        <v/>
      </c>
      <c r="N101" s="13">
        <f>K101/M101-1</f>
        <v/>
      </c>
      <c r="O101" s="12">
        <f>Calculator!$B$4*B101</f>
        <v/>
      </c>
      <c r="P101" s="12">
        <f>Calculator!$B$4*C101</f>
        <v/>
      </c>
      <c r="Q101" s="12">
        <f>Calculator!$B$4*D101</f>
        <v/>
      </c>
      <c r="R101" s="12">
        <f>Calculator!$B$4*F101</f>
        <v/>
      </c>
    </row>
    <row r="102">
      <c r="A102" s="6">
        <f>Data!A102</f>
        <v/>
      </c>
      <c r="B102" s="16">
        <f>Data!C102/Data!$C$5</f>
        <v/>
      </c>
      <c r="C102" s="16">
        <f>Data!G102/Data!$G$5</f>
        <v/>
      </c>
      <c r="D102" s="16">
        <f>D101*(1+Data!I102/100)</f>
        <v/>
      </c>
      <c r="E102" s="16" t="n">
        <v>1</v>
      </c>
      <c r="F102" s="16">
        <f>F101*(1+Data!H102/100)^(1/12)</f>
        <v/>
      </c>
      <c r="G102" s="12">
        <f>Calculator!$B$4*Calculator!$B$5/100*B102</f>
        <v/>
      </c>
      <c r="H102" s="12">
        <f>Calculator!$B$4*Calculator!$B$6/100*C102</f>
        <v/>
      </c>
      <c r="I102" s="12">
        <f>Calculator!$B$4*Calculator!$B$7/100*D102</f>
        <v/>
      </c>
      <c r="J102" s="12">
        <f>Calculator!$B$4*Calculator!$B$8/100*E102</f>
        <v/>
      </c>
      <c r="K102" s="12">
        <f>SUM(G102:J102)</f>
        <v/>
      </c>
      <c r="L102" s="12">
        <f>K102/F102</f>
        <v/>
      </c>
      <c r="M102" s="12">
        <f>MAX(M101,K102)</f>
        <v/>
      </c>
      <c r="N102" s="13">
        <f>K102/M102-1</f>
        <v/>
      </c>
      <c r="O102" s="12">
        <f>Calculator!$B$4*B102</f>
        <v/>
      </c>
      <c r="P102" s="12">
        <f>Calculator!$B$4*C102</f>
        <v/>
      </c>
      <c r="Q102" s="12">
        <f>Calculator!$B$4*D102</f>
        <v/>
      </c>
      <c r="R102" s="12">
        <f>Calculator!$B$4*F102</f>
        <v/>
      </c>
    </row>
    <row r="103">
      <c r="A103" s="6">
        <f>Data!A103</f>
        <v/>
      </c>
      <c r="B103" s="16">
        <f>Data!C103/Data!$C$5</f>
        <v/>
      </c>
      <c r="C103" s="16">
        <f>Data!G103/Data!$G$5</f>
        <v/>
      </c>
      <c r="D103" s="16">
        <f>D102*(1+Data!I103/100)</f>
        <v/>
      </c>
      <c r="E103" s="16" t="n">
        <v>1</v>
      </c>
      <c r="F103" s="16">
        <f>F102*(1+Data!H103/100)^(1/12)</f>
        <v/>
      </c>
      <c r="G103" s="12">
        <f>Calculator!$B$4*Calculator!$B$5/100*B103</f>
        <v/>
      </c>
      <c r="H103" s="12">
        <f>Calculator!$B$4*Calculator!$B$6/100*C103</f>
        <v/>
      </c>
      <c r="I103" s="12">
        <f>Calculator!$B$4*Calculator!$B$7/100*D103</f>
        <v/>
      </c>
      <c r="J103" s="12">
        <f>Calculator!$B$4*Calculator!$B$8/100*E103</f>
        <v/>
      </c>
      <c r="K103" s="12">
        <f>SUM(G103:J103)</f>
        <v/>
      </c>
      <c r="L103" s="12">
        <f>K103/F103</f>
        <v/>
      </c>
      <c r="M103" s="12">
        <f>MAX(M102,K103)</f>
        <v/>
      </c>
      <c r="N103" s="13">
        <f>K103/M103-1</f>
        <v/>
      </c>
      <c r="O103" s="12">
        <f>Calculator!$B$4*B103</f>
        <v/>
      </c>
      <c r="P103" s="12">
        <f>Calculator!$B$4*C103</f>
        <v/>
      </c>
      <c r="Q103" s="12">
        <f>Calculator!$B$4*D103</f>
        <v/>
      </c>
      <c r="R103" s="12">
        <f>Calculator!$B$4*F103</f>
        <v/>
      </c>
    </row>
    <row r="104">
      <c r="A104" s="6">
        <f>Data!A104</f>
        <v/>
      </c>
      <c r="B104" s="16">
        <f>Data!C104/Data!$C$5</f>
        <v/>
      </c>
      <c r="C104" s="16">
        <f>Data!G104/Data!$G$5</f>
        <v/>
      </c>
      <c r="D104" s="16">
        <f>D103*(1+Data!I104/100)</f>
        <v/>
      </c>
      <c r="E104" s="16" t="n">
        <v>1</v>
      </c>
      <c r="F104" s="16">
        <f>F103*(1+Data!H104/100)^(1/12)</f>
        <v/>
      </c>
      <c r="G104" s="12">
        <f>Calculator!$B$4*Calculator!$B$5/100*B104</f>
        <v/>
      </c>
      <c r="H104" s="12">
        <f>Calculator!$B$4*Calculator!$B$6/100*C104</f>
        <v/>
      </c>
      <c r="I104" s="12">
        <f>Calculator!$B$4*Calculator!$B$7/100*D104</f>
        <v/>
      </c>
      <c r="J104" s="12">
        <f>Calculator!$B$4*Calculator!$B$8/100*E104</f>
        <v/>
      </c>
      <c r="K104" s="12">
        <f>SUM(G104:J104)</f>
        <v/>
      </c>
      <c r="L104" s="12">
        <f>K104/F104</f>
        <v/>
      </c>
      <c r="M104" s="12">
        <f>MAX(M103,K104)</f>
        <v/>
      </c>
      <c r="N104" s="13">
        <f>K104/M104-1</f>
        <v/>
      </c>
      <c r="O104" s="12">
        <f>Calculator!$B$4*B104</f>
        <v/>
      </c>
      <c r="P104" s="12">
        <f>Calculator!$B$4*C104</f>
        <v/>
      </c>
      <c r="Q104" s="12">
        <f>Calculator!$B$4*D104</f>
        <v/>
      </c>
      <c r="R104" s="12">
        <f>Calculator!$B$4*F104</f>
        <v/>
      </c>
    </row>
    <row r="105">
      <c r="A105" s="6">
        <f>Data!A105</f>
        <v/>
      </c>
      <c r="B105" s="16">
        <f>Data!C105/Data!$C$5</f>
        <v/>
      </c>
      <c r="C105" s="16">
        <f>Data!G105/Data!$G$5</f>
        <v/>
      </c>
      <c r="D105" s="16">
        <f>D104*(1+Data!I105/100)</f>
        <v/>
      </c>
      <c r="E105" s="16" t="n">
        <v>1</v>
      </c>
      <c r="F105" s="16">
        <f>F104*(1+Data!H105/100)^(1/12)</f>
        <v/>
      </c>
      <c r="G105" s="12">
        <f>Calculator!$B$4*Calculator!$B$5/100*B105</f>
        <v/>
      </c>
      <c r="H105" s="12">
        <f>Calculator!$B$4*Calculator!$B$6/100*C105</f>
        <v/>
      </c>
      <c r="I105" s="12">
        <f>Calculator!$B$4*Calculator!$B$7/100*D105</f>
        <v/>
      </c>
      <c r="J105" s="12">
        <f>Calculator!$B$4*Calculator!$B$8/100*E105</f>
        <v/>
      </c>
      <c r="K105" s="12">
        <f>SUM(G105:J105)</f>
        <v/>
      </c>
      <c r="L105" s="12">
        <f>K105/F105</f>
        <v/>
      </c>
      <c r="M105" s="12">
        <f>MAX(M104,K105)</f>
        <v/>
      </c>
      <c r="N105" s="13">
        <f>K105/M105-1</f>
        <v/>
      </c>
      <c r="O105" s="12">
        <f>Calculator!$B$4*B105</f>
        <v/>
      </c>
      <c r="P105" s="12">
        <f>Calculator!$B$4*C105</f>
        <v/>
      </c>
      <c r="Q105" s="12">
        <f>Calculator!$B$4*D105</f>
        <v/>
      </c>
      <c r="R105" s="12">
        <f>Calculator!$B$4*F105</f>
        <v/>
      </c>
    </row>
    <row r="106">
      <c r="A106" s="6">
        <f>Data!A106</f>
        <v/>
      </c>
      <c r="B106" s="16">
        <f>Data!C106/Data!$C$5</f>
        <v/>
      </c>
      <c r="C106" s="16">
        <f>Data!G106/Data!$G$5</f>
        <v/>
      </c>
      <c r="D106" s="16">
        <f>D105*(1+Data!I106/100)</f>
        <v/>
      </c>
      <c r="E106" s="16" t="n">
        <v>1</v>
      </c>
      <c r="F106" s="16">
        <f>F105*(1+Data!H106/100)^(1/12)</f>
        <v/>
      </c>
      <c r="G106" s="12">
        <f>Calculator!$B$4*Calculator!$B$5/100*B106</f>
        <v/>
      </c>
      <c r="H106" s="12">
        <f>Calculator!$B$4*Calculator!$B$6/100*C106</f>
        <v/>
      </c>
      <c r="I106" s="12">
        <f>Calculator!$B$4*Calculator!$B$7/100*D106</f>
        <v/>
      </c>
      <c r="J106" s="12">
        <f>Calculator!$B$4*Calculator!$B$8/100*E106</f>
        <v/>
      </c>
      <c r="K106" s="12">
        <f>SUM(G106:J106)</f>
        <v/>
      </c>
      <c r="L106" s="12">
        <f>K106/F106</f>
        <v/>
      </c>
      <c r="M106" s="12">
        <f>MAX(M105,K106)</f>
        <v/>
      </c>
      <c r="N106" s="13">
        <f>K106/M106-1</f>
        <v/>
      </c>
      <c r="O106" s="12">
        <f>Calculator!$B$4*B106</f>
        <v/>
      </c>
      <c r="P106" s="12">
        <f>Calculator!$B$4*C106</f>
        <v/>
      </c>
      <c r="Q106" s="12">
        <f>Calculator!$B$4*D106</f>
        <v/>
      </c>
      <c r="R106" s="12">
        <f>Calculator!$B$4*F106</f>
        <v/>
      </c>
    </row>
    <row r="107">
      <c r="A107" s="6">
        <f>Data!A107</f>
        <v/>
      </c>
      <c r="B107" s="16">
        <f>Data!C107/Data!$C$5</f>
        <v/>
      </c>
      <c r="C107" s="16">
        <f>Data!G107/Data!$G$5</f>
        <v/>
      </c>
      <c r="D107" s="16">
        <f>D106*(1+Data!I107/100)</f>
        <v/>
      </c>
      <c r="E107" s="16" t="n">
        <v>1</v>
      </c>
      <c r="F107" s="16">
        <f>F106*(1+Data!H107/100)^(1/12)</f>
        <v/>
      </c>
      <c r="G107" s="12">
        <f>Calculator!$B$4*Calculator!$B$5/100*B107</f>
        <v/>
      </c>
      <c r="H107" s="12">
        <f>Calculator!$B$4*Calculator!$B$6/100*C107</f>
        <v/>
      </c>
      <c r="I107" s="12">
        <f>Calculator!$B$4*Calculator!$B$7/100*D107</f>
        <v/>
      </c>
      <c r="J107" s="12">
        <f>Calculator!$B$4*Calculator!$B$8/100*E107</f>
        <v/>
      </c>
      <c r="K107" s="12">
        <f>SUM(G107:J107)</f>
        <v/>
      </c>
      <c r="L107" s="12">
        <f>K107/F107</f>
        <v/>
      </c>
      <c r="M107" s="12">
        <f>MAX(M106,K107)</f>
        <v/>
      </c>
      <c r="N107" s="13">
        <f>K107/M107-1</f>
        <v/>
      </c>
      <c r="O107" s="12">
        <f>Calculator!$B$4*B107</f>
        <v/>
      </c>
      <c r="P107" s="12">
        <f>Calculator!$B$4*C107</f>
        <v/>
      </c>
      <c r="Q107" s="12">
        <f>Calculator!$B$4*D107</f>
        <v/>
      </c>
      <c r="R107" s="12">
        <f>Calculator!$B$4*F107</f>
        <v/>
      </c>
    </row>
    <row r="108">
      <c r="A108" s="6">
        <f>Data!A108</f>
        <v/>
      </c>
      <c r="B108" s="16">
        <f>Data!C108/Data!$C$5</f>
        <v/>
      </c>
      <c r="C108" s="16">
        <f>Data!G108/Data!$G$5</f>
        <v/>
      </c>
      <c r="D108" s="16">
        <f>D107*(1+Data!I108/100)</f>
        <v/>
      </c>
      <c r="E108" s="16" t="n">
        <v>1</v>
      </c>
      <c r="F108" s="16">
        <f>F107*(1+Data!H108/100)^(1/12)</f>
        <v/>
      </c>
      <c r="G108" s="12">
        <f>Calculator!$B$4*Calculator!$B$5/100*B108</f>
        <v/>
      </c>
      <c r="H108" s="12">
        <f>Calculator!$B$4*Calculator!$B$6/100*C108</f>
        <v/>
      </c>
      <c r="I108" s="12">
        <f>Calculator!$B$4*Calculator!$B$7/100*D108</f>
        <v/>
      </c>
      <c r="J108" s="12">
        <f>Calculator!$B$4*Calculator!$B$8/100*E108</f>
        <v/>
      </c>
      <c r="K108" s="12">
        <f>SUM(G108:J108)</f>
        <v/>
      </c>
      <c r="L108" s="12">
        <f>K108/F108</f>
        <v/>
      </c>
      <c r="M108" s="12">
        <f>MAX(M107,K108)</f>
        <v/>
      </c>
      <c r="N108" s="13">
        <f>K108/M108-1</f>
        <v/>
      </c>
      <c r="O108" s="12">
        <f>Calculator!$B$4*B108</f>
        <v/>
      </c>
      <c r="P108" s="12">
        <f>Calculator!$B$4*C108</f>
        <v/>
      </c>
      <c r="Q108" s="12">
        <f>Calculator!$B$4*D108</f>
        <v/>
      </c>
      <c r="R108" s="12">
        <f>Calculator!$B$4*F108</f>
        <v/>
      </c>
    </row>
    <row r="109">
      <c r="A109" s="6">
        <f>Data!A109</f>
        <v/>
      </c>
      <c r="B109" s="16">
        <f>Data!C109/Data!$C$5</f>
        <v/>
      </c>
      <c r="C109" s="16">
        <f>Data!G109/Data!$G$5</f>
        <v/>
      </c>
      <c r="D109" s="16">
        <f>D108*(1+Data!I109/100)</f>
        <v/>
      </c>
      <c r="E109" s="16" t="n">
        <v>1</v>
      </c>
      <c r="F109" s="16">
        <f>F108*(1+Data!H109/100)^(1/12)</f>
        <v/>
      </c>
      <c r="G109" s="12">
        <f>Calculator!$B$4*Calculator!$B$5/100*B109</f>
        <v/>
      </c>
      <c r="H109" s="12">
        <f>Calculator!$B$4*Calculator!$B$6/100*C109</f>
        <v/>
      </c>
      <c r="I109" s="12">
        <f>Calculator!$B$4*Calculator!$B$7/100*D109</f>
        <v/>
      </c>
      <c r="J109" s="12">
        <f>Calculator!$B$4*Calculator!$B$8/100*E109</f>
        <v/>
      </c>
      <c r="K109" s="12">
        <f>SUM(G109:J109)</f>
        <v/>
      </c>
      <c r="L109" s="12">
        <f>K109/F109</f>
        <v/>
      </c>
      <c r="M109" s="12">
        <f>MAX(M108,K109)</f>
        <v/>
      </c>
      <c r="N109" s="13">
        <f>K109/M109-1</f>
        <v/>
      </c>
      <c r="O109" s="12">
        <f>Calculator!$B$4*B109</f>
        <v/>
      </c>
      <c r="P109" s="12">
        <f>Calculator!$B$4*C109</f>
        <v/>
      </c>
      <c r="Q109" s="12">
        <f>Calculator!$B$4*D109</f>
        <v/>
      </c>
      <c r="R109" s="12">
        <f>Calculator!$B$4*F109</f>
        <v/>
      </c>
    </row>
    <row r="110">
      <c r="A110" s="6">
        <f>Data!A110</f>
        <v/>
      </c>
      <c r="B110" s="16">
        <f>Data!C110/Data!$C$5</f>
        <v/>
      </c>
      <c r="C110" s="16">
        <f>Data!G110/Data!$G$5</f>
        <v/>
      </c>
      <c r="D110" s="16">
        <f>D109*(1+Data!I110/100)</f>
        <v/>
      </c>
      <c r="E110" s="16" t="n">
        <v>1</v>
      </c>
      <c r="F110" s="16">
        <f>F109*(1+Data!H110/100)^(1/12)</f>
        <v/>
      </c>
      <c r="G110" s="12">
        <f>Calculator!$B$4*Calculator!$B$5/100*B110</f>
        <v/>
      </c>
      <c r="H110" s="12">
        <f>Calculator!$B$4*Calculator!$B$6/100*C110</f>
        <v/>
      </c>
      <c r="I110" s="12">
        <f>Calculator!$B$4*Calculator!$B$7/100*D110</f>
        <v/>
      </c>
      <c r="J110" s="12">
        <f>Calculator!$B$4*Calculator!$B$8/100*E110</f>
        <v/>
      </c>
      <c r="K110" s="12">
        <f>SUM(G110:J110)</f>
        <v/>
      </c>
      <c r="L110" s="12">
        <f>K110/F110</f>
        <v/>
      </c>
      <c r="M110" s="12">
        <f>MAX(M109,K110)</f>
        <v/>
      </c>
      <c r="N110" s="13">
        <f>K110/M110-1</f>
        <v/>
      </c>
      <c r="O110" s="12">
        <f>Calculator!$B$4*B110</f>
        <v/>
      </c>
      <c r="P110" s="12">
        <f>Calculator!$B$4*C110</f>
        <v/>
      </c>
      <c r="Q110" s="12">
        <f>Calculator!$B$4*D110</f>
        <v/>
      </c>
      <c r="R110" s="12">
        <f>Calculator!$B$4*F110</f>
        <v/>
      </c>
    </row>
    <row r="111">
      <c r="A111" s="6">
        <f>Data!A111</f>
        <v/>
      </c>
      <c r="B111" s="16">
        <f>Data!C111/Data!$C$5</f>
        <v/>
      </c>
      <c r="C111" s="16">
        <f>Data!G111/Data!$G$5</f>
        <v/>
      </c>
      <c r="D111" s="16">
        <f>D110*(1+Data!I111/100)</f>
        <v/>
      </c>
      <c r="E111" s="16" t="n">
        <v>1</v>
      </c>
      <c r="F111" s="16">
        <f>F110*(1+Data!H111/100)^(1/12)</f>
        <v/>
      </c>
      <c r="G111" s="12">
        <f>Calculator!$B$4*Calculator!$B$5/100*B111</f>
        <v/>
      </c>
      <c r="H111" s="12">
        <f>Calculator!$B$4*Calculator!$B$6/100*C111</f>
        <v/>
      </c>
      <c r="I111" s="12">
        <f>Calculator!$B$4*Calculator!$B$7/100*D111</f>
        <v/>
      </c>
      <c r="J111" s="12">
        <f>Calculator!$B$4*Calculator!$B$8/100*E111</f>
        <v/>
      </c>
      <c r="K111" s="12">
        <f>SUM(G111:J111)</f>
        <v/>
      </c>
      <c r="L111" s="12">
        <f>K111/F111</f>
        <v/>
      </c>
      <c r="M111" s="12">
        <f>MAX(M110,K111)</f>
        <v/>
      </c>
      <c r="N111" s="13">
        <f>K111/M111-1</f>
        <v/>
      </c>
      <c r="O111" s="12">
        <f>Calculator!$B$4*B111</f>
        <v/>
      </c>
      <c r="P111" s="12">
        <f>Calculator!$B$4*C111</f>
        <v/>
      </c>
      <c r="Q111" s="12">
        <f>Calculator!$B$4*D111</f>
        <v/>
      </c>
      <c r="R111" s="12">
        <f>Calculator!$B$4*F111</f>
        <v/>
      </c>
    </row>
    <row r="112">
      <c r="A112" s="6">
        <f>Data!A112</f>
        <v/>
      </c>
      <c r="B112" s="16">
        <f>Data!C112/Data!$C$5</f>
        <v/>
      </c>
      <c r="C112" s="16">
        <f>Data!G112/Data!$G$5</f>
        <v/>
      </c>
      <c r="D112" s="16">
        <f>D111*(1+Data!I112/100)</f>
        <v/>
      </c>
      <c r="E112" s="16" t="n">
        <v>1</v>
      </c>
      <c r="F112" s="16">
        <f>F111*(1+Data!H112/100)^(1/12)</f>
        <v/>
      </c>
      <c r="G112" s="12">
        <f>Calculator!$B$4*Calculator!$B$5/100*B112</f>
        <v/>
      </c>
      <c r="H112" s="12">
        <f>Calculator!$B$4*Calculator!$B$6/100*C112</f>
        <v/>
      </c>
      <c r="I112" s="12">
        <f>Calculator!$B$4*Calculator!$B$7/100*D112</f>
        <v/>
      </c>
      <c r="J112" s="12">
        <f>Calculator!$B$4*Calculator!$B$8/100*E112</f>
        <v/>
      </c>
      <c r="K112" s="12">
        <f>SUM(G112:J112)</f>
        <v/>
      </c>
      <c r="L112" s="12">
        <f>K112/F112</f>
        <v/>
      </c>
      <c r="M112" s="12">
        <f>MAX(M111,K112)</f>
        <v/>
      </c>
      <c r="N112" s="13">
        <f>K112/M112-1</f>
        <v/>
      </c>
      <c r="O112" s="12">
        <f>Calculator!$B$4*B112</f>
        <v/>
      </c>
      <c r="P112" s="12">
        <f>Calculator!$B$4*C112</f>
        <v/>
      </c>
      <c r="Q112" s="12">
        <f>Calculator!$B$4*D112</f>
        <v/>
      </c>
      <c r="R112" s="12">
        <f>Calculator!$B$4*F112</f>
        <v/>
      </c>
    </row>
    <row r="113">
      <c r="A113" s="6">
        <f>Data!A113</f>
        <v/>
      </c>
      <c r="B113" s="16">
        <f>Data!C113/Data!$C$5</f>
        <v/>
      </c>
      <c r="C113" s="16">
        <f>Data!G113/Data!$G$5</f>
        <v/>
      </c>
      <c r="D113" s="16">
        <f>D112*(1+Data!I113/100)</f>
        <v/>
      </c>
      <c r="E113" s="16" t="n">
        <v>1</v>
      </c>
      <c r="F113" s="16">
        <f>F112*(1+Data!H113/100)^(1/12)</f>
        <v/>
      </c>
      <c r="G113" s="12">
        <f>Calculator!$B$4*Calculator!$B$5/100*B113</f>
        <v/>
      </c>
      <c r="H113" s="12">
        <f>Calculator!$B$4*Calculator!$B$6/100*C113</f>
        <v/>
      </c>
      <c r="I113" s="12">
        <f>Calculator!$B$4*Calculator!$B$7/100*D113</f>
        <v/>
      </c>
      <c r="J113" s="12">
        <f>Calculator!$B$4*Calculator!$B$8/100*E113</f>
        <v/>
      </c>
      <c r="K113" s="12">
        <f>SUM(G113:J113)</f>
        <v/>
      </c>
      <c r="L113" s="12">
        <f>K113/F113</f>
        <v/>
      </c>
      <c r="M113" s="12">
        <f>MAX(M112,K113)</f>
        <v/>
      </c>
      <c r="N113" s="13">
        <f>K113/M113-1</f>
        <v/>
      </c>
      <c r="O113" s="12">
        <f>Calculator!$B$4*B113</f>
        <v/>
      </c>
      <c r="P113" s="12">
        <f>Calculator!$B$4*C113</f>
        <v/>
      </c>
      <c r="Q113" s="12">
        <f>Calculator!$B$4*D113</f>
        <v/>
      </c>
      <c r="R113" s="12">
        <f>Calculator!$B$4*F113</f>
        <v/>
      </c>
    </row>
    <row r="114">
      <c r="A114" s="6">
        <f>Data!A114</f>
        <v/>
      </c>
      <c r="B114" s="16">
        <f>Data!C114/Data!$C$5</f>
        <v/>
      </c>
      <c r="C114" s="16">
        <f>Data!G114/Data!$G$5</f>
        <v/>
      </c>
      <c r="D114" s="16">
        <f>D113*(1+Data!I114/100)</f>
        <v/>
      </c>
      <c r="E114" s="16" t="n">
        <v>1</v>
      </c>
      <c r="F114" s="16">
        <f>F113*(1+Data!H114/100)^(1/12)</f>
        <v/>
      </c>
      <c r="G114" s="12">
        <f>Calculator!$B$4*Calculator!$B$5/100*B114</f>
        <v/>
      </c>
      <c r="H114" s="12">
        <f>Calculator!$B$4*Calculator!$B$6/100*C114</f>
        <v/>
      </c>
      <c r="I114" s="12">
        <f>Calculator!$B$4*Calculator!$B$7/100*D114</f>
        <v/>
      </c>
      <c r="J114" s="12">
        <f>Calculator!$B$4*Calculator!$B$8/100*E114</f>
        <v/>
      </c>
      <c r="K114" s="12">
        <f>SUM(G114:J114)</f>
        <v/>
      </c>
      <c r="L114" s="12">
        <f>K114/F114</f>
        <v/>
      </c>
      <c r="M114" s="12">
        <f>MAX(M113,K114)</f>
        <v/>
      </c>
      <c r="N114" s="13">
        <f>K114/M114-1</f>
        <v/>
      </c>
      <c r="O114" s="12">
        <f>Calculator!$B$4*B114</f>
        <v/>
      </c>
      <c r="P114" s="12">
        <f>Calculator!$B$4*C114</f>
        <v/>
      </c>
      <c r="Q114" s="12">
        <f>Calculator!$B$4*D114</f>
        <v/>
      </c>
      <c r="R114" s="12">
        <f>Calculator!$B$4*F114</f>
        <v/>
      </c>
    </row>
    <row r="115">
      <c r="A115" s="6">
        <f>Data!A115</f>
        <v/>
      </c>
      <c r="B115" s="16">
        <f>Data!C115/Data!$C$5</f>
        <v/>
      </c>
      <c r="C115" s="16">
        <f>Data!G115/Data!$G$5</f>
        <v/>
      </c>
      <c r="D115" s="16">
        <f>D114*(1+Data!I115/100)</f>
        <v/>
      </c>
      <c r="E115" s="16" t="n">
        <v>1</v>
      </c>
      <c r="F115" s="16">
        <f>F114*(1+Data!H115/100)^(1/12)</f>
        <v/>
      </c>
      <c r="G115" s="12">
        <f>Calculator!$B$4*Calculator!$B$5/100*B115</f>
        <v/>
      </c>
      <c r="H115" s="12">
        <f>Calculator!$B$4*Calculator!$B$6/100*C115</f>
        <v/>
      </c>
      <c r="I115" s="12">
        <f>Calculator!$B$4*Calculator!$B$7/100*D115</f>
        <v/>
      </c>
      <c r="J115" s="12">
        <f>Calculator!$B$4*Calculator!$B$8/100*E115</f>
        <v/>
      </c>
      <c r="K115" s="12">
        <f>SUM(G115:J115)</f>
        <v/>
      </c>
      <c r="L115" s="12">
        <f>K115/F115</f>
        <v/>
      </c>
      <c r="M115" s="12">
        <f>MAX(M114,K115)</f>
        <v/>
      </c>
      <c r="N115" s="13">
        <f>K115/M115-1</f>
        <v/>
      </c>
      <c r="O115" s="12">
        <f>Calculator!$B$4*B115</f>
        <v/>
      </c>
      <c r="P115" s="12">
        <f>Calculator!$B$4*C115</f>
        <v/>
      </c>
      <c r="Q115" s="12">
        <f>Calculator!$B$4*D115</f>
        <v/>
      </c>
      <c r="R115" s="12">
        <f>Calculator!$B$4*F115</f>
        <v/>
      </c>
    </row>
    <row r="116">
      <c r="A116" s="6">
        <f>Data!A116</f>
        <v/>
      </c>
      <c r="B116" s="16">
        <f>Data!C116/Data!$C$5</f>
        <v/>
      </c>
      <c r="C116" s="16">
        <f>Data!G116/Data!$G$5</f>
        <v/>
      </c>
      <c r="D116" s="16">
        <f>D115*(1+Data!I116/100)</f>
        <v/>
      </c>
      <c r="E116" s="16" t="n">
        <v>1</v>
      </c>
      <c r="F116" s="16">
        <f>F115*(1+Data!H116/100)^(1/12)</f>
        <v/>
      </c>
      <c r="G116" s="12">
        <f>Calculator!$B$4*Calculator!$B$5/100*B116</f>
        <v/>
      </c>
      <c r="H116" s="12">
        <f>Calculator!$B$4*Calculator!$B$6/100*C116</f>
        <v/>
      </c>
      <c r="I116" s="12">
        <f>Calculator!$B$4*Calculator!$B$7/100*D116</f>
        <v/>
      </c>
      <c r="J116" s="12">
        <f>Calculator!$B$4*Calculator!$B$8/100*E116</f>
        <v/>
      </c>
      <c r="K116" s="12">
        <f>SUM(G116:J116)</f>
        <v/>
      </c>
      <c r="L116" s="12">
        <f>K116/F116</f>
        <v/>
      </c>
      <c r="M116" s="12">
        <f>MAX(M115,K116)</f>
        <v/>
      </c>
      <c r="N116" s="13">
        <f>K116/M116-1</f>
        <v/>
      </c>
      <c r="O116" s="12">
        <f>Calculator!$B$4*B116</f>
        <v/>
      </c>
      <c r="P116" s="12">
        <f>Calculator!$B$4*C116</f>
        <v/>
      </c>
      <c r="Q116" s="12">
        <f>Calculator!$B$4*D116</f>
        <v/>
      </c>
      <c r="R116" s="12">
        <f>Calculator!$B$4*F116</f>
        <v/>
      </c>
    </row>
    <row r="117">
      <c r="A117" s="6">
        <f>Data!A117</f>
        <v/>
      </c>
      <c r="B117" s="16">
        <f>Data!C117/Data!$C$5</f>
        <v/>
      </c>
      <c r="C117" s="16">
        <f>Data!G117/Data!$G$5</f>
        <v/>
      </c>
      <c r="D117" s="16">
        <f>D116*(1+Data!I117/100)</f>
        <v/>
      </c>
      <c r="E117" s="16" t="n">
        <v>1</v>
      </c>
      <c r="F117" s="16">
        <f>F116*(1+Data!H117/100)^(1/12)</f>
        <v/>
      </c>
      <c r="G117" s="12">
        <f>Calculator!$B$4*Calculator!$B$5/100*B117</f>
        <v/>
      </c>
      <c r="H117" s="12">
        <f>Calculator!$B$4*Calculator!$B$6/100*C117</f>
        <v/>
      </c>
      <c r="I117" s="12">
        <f>Calculator!$B$4*Calculator!$B$7/100*D117</f>
        <v/>
      </c>
      <c r="J117" s="12">
        <f>Calculator!$B$4*Calculator!$B$8/100*E117</f>
        <v/>
      </c>
      <c r="K117" s="12">
        <f>SUM(G117:J117)</f>
        <v/>
      </c>
      <c r="L117" s="12">
        <f>K117/F117</f>
        <v/>
      </c>
      <c r="M117" s="12">
        <f>MAX(M116,K117)</f>
        <v/>
      </c>
      <c r="N117" s="13">
        <f>K117/M117-1</f>
        <v/>
      </c>
      <c r="O117" s="12">
        <f>Calculator!$B$4*B117</f>
        <v/>
      </c>
      <c r="P117" s="12">
        <f>Calculator!$B$4*C117</f>
        <v/>
      </c>
      <c r="Q117" s="12">
        <f>Calculator!$B$4*D117</f>
        <v/>
      </c>
      <c r="R117" s="12">
        <f>Calculator!$B$4*F117</f>
        <v/>
      </c>
    </row>
    <row r="118">
      <c r="A118" s="6">
        <f>Data!A118</f>
        <v/>
      </c>
      <c r="B118" s="16">
        <f>Data!C118/Data!$C$5</f>
        <v/>
      </c>
      <c r="C118" s="16">
        <f>Data!G118/Data!$G$5</f>
        <v/>
      </c>
      <c r="D118" s="16">
        <f>D117*(1+Data!I118/100)</f>
        <v/>
      </c>
      <c r="E118" s="16" t="n">
        <v>1</v>
      </c>
      <c r="F118" s="16">
        <f>F117*(1+Data!H118/100)^(1/12)</f>
        <v/>
      </c>
      <c r="G118" s="12">
        <f>Calculator!$B$4*Calculator!$B$5/100*B118</f>
        <v/>
      </c>
      <c r="H118" s="12">
        <f>Calculator!$B$4*Calculator!$B$6/100*C118</f>
        <v/>
      </c>
      <c r="I118" s="12">
        <f>Calculator!$B$4*Calculator!$B$7/100*D118</f>
        <v/>
      </c>
      <c r="J118" s="12">
        <f>Calculator!$B$4*Calculator!$B$8/100*E118</f>
        <v/>
      </c>
      <c r="K118" s="12">
        <f>SUM(G118:J118)</f>
        <v/>
      </c>
      <c r="L118" s="12">
        <f>K118/F118</f>
        <v/>
      </c>
      <c r="M118" s="12">
        <f>MAX(M117,K118)</f>
        <v/>
      </c>
      <c r="N118" s="13">
        <f>K118/M118-1</f>
        <v/>
      </c>
      <c r="O118" s="12">
        <f>Calculator!$B$4*B118</f>
        <v/>
      </c>
      <c r="P118" s="12">
        <f>Calculator!$B$4*C118</f>
        <v/>
      </c>
      <c r="Q118" s="12">
        <f>Calculator!$B$4*D118</f>
        <v/>
      </c>
      <c r="R118" s="12">
        <f>Calculator!$B$4*F118</f>
        <v/>
      </c>
    </row>
    <row r="119">
      <c r="A119" s="6">
        <f>Data!A119</f>
        <v/>
      </c>
      <c r="B119" s="16">
        <f>Data!C119/Data!$C$5</f>
        <v/>
      </c>
      <c r="C119" s="16">
        <f>Data!G119/Data!$G$5</f>
        <v/>
      </c>
      <c r="D119" s="16">
        <f>D118*(1+Data!I119/100)</f>
        <v/>
      </c>
      <c r="E119" s="16" t="n">
        <v>1</v>
      </c>
      <c r="F119" s="16">
        <f>F118*(1+Data!H119/100)^(1/12)</f>
        <v/>
      </c>
      <c r="G119" s="12">
        <f>Calculator!$B$4*Calculator!$B$5/100*B119</f>
        <v/>
      </c>
      <c r="H119" s="12">
        <f>Calculator!$B$4*Calculator!$B$6/100*C119</f>
        <v/>
      </c>
      <c r="I119" s="12">
        <f>Calculator!$B$4*Calculator!$B$7/100*D119</f>
        <v/>
      </c>
      <c r="J119" s="12">
        <f>Calculator!$B$4*Calculator!$B$8/100*E119</f>
        <v/>
      </c>
      <c r="K119" s="12">
        <f>SUM(G119:J119)</f>
        <v/>
      </c>
      <c r="L119" s="12">
        <f>K119/F119</f>
        <v/>
      </c>
      <c r="M119" s="12">
        <f>MAX(M118,K119)</f>
        <v/>
      </c>
      <c r="N119" s="13">
        <f>K119/M119-1</f>
        <v/>
      </c>
      <c r="O119" s="12">
        <f>Calculator!$B$4*B119</f>
        <v/>
      </c>
      <c r="P119" s="12">
        <f>Calculator!$B$4*C119</f>
        <v/>
      </c>
      <c r="Q119" s="12">
        <f>Calculator!$B$4*D119</f>
        <v/>
      </c>
      <c r="R119" s="12">
        <f>Calculator!$B$4*F119</f>
        <v/>
      </c>
    </row>
    <row r="120">
      <c r="A120" s="6">
        <f>Data!A120</f>
        <v/>
      </c>
      <c r="B120" s="16">
        <f>Data!C120/Data!$C$5</f>
        <v/>
      </c>
      <c r="C120" s="16">
        <f>Data!G120/Data!$G$5</f>
        <v/>
      </c>
      <c r="D120" s="16">
        <f>D119*(1+Data!I120/100)</f>
        <v/>
      </c>
      <c r="E120" s="16" t="n">
        <v>1</v>
      </c>
      <c r="F120" s="16">
        <f>F119*(1+Data!H120/100)^(1/12)</f>
        <v/>
      </c>
      <c r="G120" s="12">
        <f>Calculator!$B$4*Calculator!$B$5/100*B120</f>
        <v/>
      </c>
      <c r="H120" s="12">
        <f>Calculator!$B$4*Calculator!$B$6/100*C120</f>
        <v/>
      </c>
      <c r="I120" s="12">
        <f>Calculator!$B$4*Calculator!$B$7/100*D120</f>
        <v/>
      </c>
      <c r="J120" s="12">
        <f>Calculator!$B$4*Calculator!$B$8/100*E120</f>
        <v/>
      </c>
      <c r="K120" s="12">
        <f>SUM(G120:J120)</f>
        <v/>
      </c>
      <c r="L120" s="12">
        <f>K120/F120</f>
        <v/>
      </c>
      <c r="M120" s="12">
        <f>MAX(M119,K120)</f>
        <v/>
      </c>
      <c r="N120" s="13">
        <f>K120/M120-1</f>
        <v/>
      </c>
      <c r="O120" s="12">
        <f>Calculator!$B$4*B120</f>
        <v/>
      </c>
      <c r="P120" s="12">
        <f>Calculator!$B$4*C120</f>
        <v/>
      </c>
      <c r="Q120" s="12">
        <f>Calculator!$B$4*D120</f>
        <v/>
      </c>
      <c r="R120" s="12">
        <f>Calculator!$B$4*F120</f>
        <v/>
      </c>
    </row>
    <row r="121">
      <c r="A121" s="6">
        <f>Data!A121</f>
        <v/>
      </c>
      <c r="B121" s="16">
        <f>Data!C121/Data!$C$5</f>
        <v/>
      </c>
      <c r="C121" s="16">
        <f>Data!G121/Data!$G$5</f>
        <v/>
      </c>
      <c r="D121" s="16">
        <f>D120*(1+Data!I121/100)</f>
        <v/>
      </c>
      <c r="E121" s="16" t="n">
        <v>1</v>
      </c>
      <c r="F121" s="16">
        <f>F120*(1+Data!H121/100)^(1/12)</f>
        <v/>
      </c>
      <c r="G121" s="12">
        <f>Calculator!$B$4*Calculator!$B$5/100*B121</f>
        <v/>
      </c>
      <c r="H121" s="12">
        <f>Calculator!$B$4*Calculator!$B$6/100*C121</f>
        <v/>
      </c>
      <c r="I121" s="12">
        <f>Calculator!$B$4*Calculator!$B$7/100*D121</f>
        <v/>
      </c>
      <c r="J121" s="12">
        <f>Calculator!$B$4*Calculator!$B$8/100*E121</f>
        <v/>
      </c>
      <c r="K121" s="12">
        <f>SUM(G121:J121)</f>
        <v/>
      </c>
      <c r="L121" s="12">
        <f>K121/F121</f>
        <v/>
      </c>
      <c r="M121" s="12">
        <f>MAX(M120,K121)</f>
        <v/>
      </c>
      <c r="N121" s="13">
        <f>K121/M121-1</f>
        <v/>
      </c>
      <c r="O121" s="12">
        <f>Calculator!$B$4*B121</f>
        <v/>
      </c>
      <c r="P121" s="12">
        <f>Calculator!$B$4*C121</f>
        <v/>
      </c>
      <c r="Q121" s="12">
        <f>Calculator!$B$4*D121</f>
        <v/>
      </c>
      <c r="R121" s="12">
        <f>Calculator!$B$4*F121</f>
        <v/>
      </c>
    </row>
    <row r="122">
      <c r="A122" s="6">
        <f>Data!A122</f>
        <v/>
      </c>
      <c r="B122" s="16">
        <f>Data!C122/Data!$C$5</f>
        <v/>
      </c>
      <c r="C122" s="16">
        <f>Data!G122/Data!$G$5</f>
        <v/>
      </c>
      <c r="D122" s="16">
        <f>D121*(1+Data!I122/100)</f>
        <v/>
      </c>
      <c r="E122" s="16" t="n">
        <v>1</v>
      </c>
      <c r="F122" s="16">
        <f>F121*(1+Data!H122/100)^(1/12)</f>
        <v/>
      </c>
      <c r="G122" s="12">
        <f>Calculator!$B$4*Calculator!$B$5/100*B122</f>
        <v/>
      </c>
      <c r="H122" s="12">
        <f>Calculator!$B$4*Calculator!$B$6/100*C122</f>
        <v/>
      </c>
      <c r="I122" s="12">
        <f>Calculator!$B$4*Calculator!$B$7/100*D122</f>
        <v/>
      </c>
      <c r="J122" s="12">
        <f>Calculator!$B$4*Calculator!$B$8/100*E122</f>
        <v/>
      </c>
      <c r="K122" s="12">
        <f>SUM(G122:J122)</f>
        <v/>
      </c>
      <c r="L122" s="12">
        <f>K122/F122</f>
        <v/>
      </c>
      <c r="M122" s="12">
        <f>MAX(M121,K122)</f>
        <v/>
      </c>
      <c r="N122" s="13">
        <f>K122/M122-1</f>
        <v/>
      </c>
      <c r="O122" s="12">
        <f>Calculator!$B$4*B122</f>
        <v/>
      </c>
      <c r="P122" s="12">
        <f>Calculator!$B$4*C122</f>
        <v/>
      </c>
      <c r="Q122" s="12">
        <f>Calculator!$B$4*D122</f>
        <v/>
      </c>
      <c r="R122" s="12">
        <f>Calculator!$B$4*F122</f>
        <v/>
      </c>
    </row>
    <row r="123">
      <c r="A123" s="6">
        <f>Data!A123</f>
        <v/>
      </c>
      <c r="B123" s="16">
        <f>Data!C123/Data!$C$5</f>
        <v/>
      </c>
      <c r="C123" s="16">
        <f>Data!G123/Data!$G$5</f>
        <v/>
      </c>
      <c r="D123" s="16">
        <f>D122*(1+Data!I123/100)</f>
        <v/>
      </c>
      <c r="E123" s="16" t="n">
        <v>1</v>
      </c>
      <c r="F123" s="16">
        <f>F122*(1+Data!H123/100)^(1/12)</f>
        <v/>
      </c>
      <c r="G123" s="12">
        <f>Calculator!$B$4*Calculator!$B$5/100*B123</f>
        <v/>
      </c>
      <c r="H123" s="12">
        <f>Calculator!$B$4*Calculator!$B$6/100*C123</f>
        <v/>
      </c>
      <c r="I123" s="12">
        <f>Calculator!$B$4*Calculator!$B$7/100*D123</f>
        <v/>
      </c>
      <c r="J123" s="12">
        <f>Calculator!$B$4*Calculator!$B$8/100*E123</f>
        <v/>
      </c>
      <c r="K123" s="12">
        <f>SUM(G123:J123)</f>
        <v/>
      </c>
      <c r="L123" s="12">
        <f>K123/F123</f>
        <v/>
      </c>
      <c r="M123" s="12">
        <f>MAX(M122,K123)</f>
        <v/>
      </c>
      <c r="N123" s="13">
        <f>K123/M123-1</f>
        <v/>
      </c>
      <c r="O123" s="12">
        <f>Calculator!$B$4*B123</f>
        <v/>
      </c>
      <c r="P123" s="12">
        <f>Calculator!$B$4*C123</f>
        <v/>
      </c>
      <c r="Q123" s="12">
        <f>Calculator!$B$4*D123</f>
        <v/>
      </c>
      <c r="R123" s="12">
        <f>Calculator!$B$4*F123</f>
        <v/>
      </c>
    </row>
    <row r="124">
      <c r="A124" s="6">
        <f>Data!A124</f>
        <v/>
      </c>
      <c r="B124" s="16">
        <f>Data!C124/Data!$C$5</f>
        <v/>
      </c>
      <c r="C124" s="16">
        <f>Data!G124/Data!$G$5</f>
        <v/>
      </c>
      <c r="D124" s="16">
        <f>D123*(1+Data!I124/100)</f>
        <v/>
      </c>
      <c r="E124" s="16" t="n">
        <v>1</v>
      </c>
      <c r="F124" s="16">
        <f>F123*(1+Data!H124/100)^(1/12)</f>
        <v/>
      </c>
      <c r="G124" s="12">
        <f>Calculator!$B$4*Calculator!$B$5/100*B124</f>
        <v/>
      </c>
      <c r="H124" s="12">
        <f>Calculator!$B$4*Calculator!$B$6/100*C124</f>
        <v/>
      </c>
      <c r="I124" s="12">
        <f>Calculator!$B$4*Calculator!$B$7/100*D124</f>
        <v/>
      </c>
      <c r="J124" s="12">
        <f>Calculator!$B$4*Calculator!$B$8/100*E124</f>
        <v/>
      </c>
      <c r="K124" s="12">
        <f>SUM(G124:J124)</f>
        <v/>
      </c>
      <c r="L124" s="12">
        <f>K124/F124</f>
        <v/>
      </c>
      <c r="M124" s="12">
        <f>MAX(M123,K124)</f>
        <v/>
      </c>
      <c r="N124" s="13">
        <f>K124/M124-1</f>
        <v/>
      </c>
      <c r="O124" s="12">
        <f>Calculator!$B$4*B124</f>
        <v/>
      </c>
      <c r="P124" s="12">
        <f>Calculator!$B$4*C124</f>
        <v/>
      </c>
      <c r="Q124" s="12">
        <f>Calculator!$B$4*D124</f>
        <v/>
      </c>
      <c r="R124" s="12">
        <f>Calculator!$B$4*F124</f>
        <v/>
      </c>
    </row>
    <row r="125">
      <c r="A125" s="6">
        <f>Data!A125</f>
        <v/>
      </c>
      <c r="B125" s="16">
        <f>Data!C125/Data!$C$5</f>
        <v/>
      </c>
      <c r="C125" s="16">
        <f>Data!G125/Data!$G$5</f>
        <v/>
      </c>
      <c r="D125" s="16">
        <f>D124*(1+Data!I125/100)</f>
        <v/>
      </c>
      <c r="E125" s="16" t="n">
        <v>1</v>
      </c>
      <c r="F125" s="16">
        <f>F124*(1+Data!H125/100)^(1/12)</f>
        <v/>
      </c>
      <c r="G125" s="12">
        <f>Calculator!$B$4*Calculator!$B$5/100*B125</f>
        <v/>
      </c>
      <c r="H125" s="12">
        <f>Calculator!$B$4*Calculator!$B$6/100*C125</f>
        <v/>
      </c>
      <c r="I125" s="12">
        <f>Calculator!$B$4*Calculator!$B$7/100*D125</f>
        <v/>
      </c>
      <c r="J125" s="12">
        <f>Calculator!$B$4*Calculator!$B$8/100*E125</f>
        <v/>
      </c>
      <c r="K125" s="12">
        <f>SUM(G125:J125)</f>
        <v/>
      </c>
      <c r="L125" s="12">
        <f>K125/F125</f>
        <v/>
      </c>
      <c r="M125" s="12">
        <f>MAX(M124,K125)</f>
        <v/>
      </c>
      <c r="N125" s="13">
        <f>K125/M125-1</f>
        <v/>
      </c>
      <c r="O125" s="12">
        <f>Calculator!$B$4*B125</f>
        <v/>
      </c>
      <c r="P125" s="12">
        <f>Calculator!$B$4*C125</f>
        <v/>
      </c>
      <c r="Q125" s="12">
        <f>Calculator!$B$4*D125</f>
        <v/>
      </c>
      <c r="R125" s="12">
        <f>Calculator!$B$4*F125</f>
        <v/>
      </c>
    </row>
    <row r="126">
      <c r="A126" s="6">
        <f>Data!A126</f>
        <v/>
      </c>
      <c r="B126" s="16">
        <f>Data!C126/Data!$C$5</f>
        <v/>
      </c>
      <c r="C126" s="16">
        <f>Data!G126/Data!$G$5</f>
        <v/>
      </c>
      <c r="D126" s="16">
        <f>D125*(1+Data!I126/100)</f>
        <v/>
      </c>
      <c r="E126" s="16" t="n">
        <v>1</v>
      </c>
      <c r="F126" s="16">
        <f>F125*(1+Data!H126/100)^(1/12)</f>
        <v/>
      </c>
      <c r="G126" s="12">
        <f>Calculator!$B$4*Calculator!$B$5/100*B126</f>
        <v/>
      </c>
      <c r="H126" s="12">
        <f>Calculator!$B$4*Calculator!$B$6/100*C126</f>
        <v/>
      </c>
      <c r="I126" s="12">
        <f>Calculator!$B$4*Calculator!$B$7/100*D126</f>
        <v/>
      </c>
      <c r="J126" s="12">
        <f>Calculator!$B$4*Calculator!$B$8/100*E126</f>
        <v/>
      </c>
      <c r="K126" s="12">
        <f>SUM(G126:J126)</f>
        <v/>
      </c>
      <c r="L126" s="12">
        <f>K126/F126</f>
        <v/>
      </c>
      <c r="M126" s="12">
        <f>MAX(M125,K126)</f>
        <v/>
      </c>
      <c r="N126" s="13">
        <f>K126/M126-1</f>
        <v/>
      </c>
      <c r="O126" s="12">
        <f>Calculator!$B$4*B126</f>
        <v/>
      </c>
      <c r="P126" s="12">
        <f>Calculator!$B$4*C126</f>
        <v/>
      </c>
      <c r="Q126" s="12">
        <f>Calculator!$B$4*D126</f>
        <v/>
      </c>
      <c r="R126" s="12">
        <f>Calculator!$B$4*F126</f>
        <v/>
      </c>
    </row>
    <row r="127">
      <c r="A127" s="6">
        <f>Data!A127</f>
        <v/>
      </c>
      <c r="B127" s="16">
        <f>Data!C127/Data!$C$5</f>
        <v/>
      </c>
      <c r="C127" s="16">
        <f>Data!G127/Data!$G$5</f>
        <v/>
      </c>
      <c r="D127" s="16">
        <f>D126*(1+Data!I127/100)</f>
        <v/>
      </c>
      <c r="E127" s="16" t="n">
        <v>1</v>
      </c>
      <c r="F127" s="16">
        <f>F126*(1+Data!H127/100)^(1/12)</f>
        <v/>
      </c>
      <c r="G127" s="12">
        <f>Calculator!$B$4*Calculator!$B$5/100*B127</f>
        <v/>
      </c>
      <c r="H127" s="12">
        <f>Calculator!$B$4*Calculator!$B$6/100*C127</f>
        <v/>
      </c>
      <c r="I127" s="12">
        <f>Calculator!$B$4*Calculator!$B$7/100*D127</f>
        <v/>
      </c>
      <c r="J127" s="12">
        <f>Calculator!$B$4*Calculator!$B$8/100*E127</f>
        <v/>
      </c>
      <c r="K127" s="12">
        <f>SUM(G127:J127)</f>
        <v/>
      </c>
      <c r="L127" s="12">
        <f>K127/F127</f>
        <v/>
      </c>
      <c r="M127" s="12">
        <f>MAX(M126,K127)</f>
        <v/>
      </c>
      <c r="N127" s="13">
        <f>K127/M127-1</f>
        <v/>
      </c>
      <c r="O127" s="12">
        <f>Calculator!$B$4*B127</f>
        <v/>
      </c>
      <c r="P127" s="12">
        <f>Calculator!$B$4*C127</f>
        <v/>
      </c>
      <c r="Q127" s="12">
        <f>Calculator!$B$4*D127</f>
        <v/>
      </c>
      <c r="R127" s="12">
        <f>Calculator!$B$4*F127</f>
        <v/>
      </c>
    </row>
    <row r="128">
      <c r="A128" s="6">
        <f>Data!A128</f>
        <v/>
      </c>
      <c r="B128" s="16">
        <f>Data!C128/Data!$C$5</f>
        <v/>
      </c>
      <c r="C128" s="16">
        <f>Data!G128/Data!$G$5</f>
        <v/>
      </c>
      <c r="D128" s="16">
        <f>D127*(1+Data!I128/100)</f>
        <v/>
      </c>
      <c r="E128" s="16" t="n">
        <v>1</v>
      </c>
      <c r="F128" s="16">
        <f>F127*(1+Data!H128/100)^(1/12)</f>
        <v/>
      </c>
      <c r="G128" s="12">
        <f>Calculator!$B$4*Calculator!$B$5/100*B128</f>
        <v/>
      </c>
      <c r="H128" s="12">
        <f>Calculator!$B$4*Calculator!$B$6/100*C128</f>
        <v/>
      </c>
      <c r="I128" s="12">
        <f>Calculator!$B$4*Calculator!$B$7/100*D128</f>
        <v/>
      </c>
      <c r="J128" s="12">
        <f>Calculator!$B$4*Calculator!$B$8/100*E128</f>
        <v/>
      </c>
      <c r="K128" s="12">
        <f>SUM(G128:J128)</f>
        <v/>
      </c>
      <c r="L128" s="12">
        <f>K128/F128</f>
        <v/>
      </c>
      <c r="M128" s="12">
        <f>MAX(M127,K128)</f>
        <v/>
      </c>
      <c r="N128" s="13">
        <f>K128/M128-1</f>
        <v/>
      </c>
      <c r="O128" s="12">
        <f>Calculator!$B$4*B128</f>
        <v/>
      </c>
      <c r="P128" s="12">
        <f>Calculator!$B$4*C128</f>
        <v/>
      </c>
      <c r="Q128" s="12">
        <f>Calculator!$B$4*D128</f>
        <v/>
      </c>
      <c r="R128" s="12">
        <f>Calculator!$B$4*F128</f>
        <v/>
      </c>
    </row>
    <row r="129">
      <c r="A129" s="6">
        <f>Data!A129</f>
        <v/>
      </c>
      <c r="B129" s="16">
        <f>Data!C129/Data!$C$5</f>
        <v/>
      </c>
      <c r="C129" s="16">
        <f>Data!G129/Data!$G$5</f>
        <v/>
      </c>
      <c r="D129" s="16">
        <f>D128*(1+Data!I129/100)</f>
        <v/>
      </c>
      <c r="E129" s="16" t="n">
        <v>1</v>
      </c>
      <c r="F129" s="16">
        <f>F128*(1+Data!H129/100)^(1/12)</f>
        <v/>
      </c>
      <c r="G129" s="12">
        <f>Calculator!$B$4*Calculator!$B$5/100*B129</f>
        <v/>
      </c>
      <c r="H129" s="12">
        <f>Calculator!$B$4*Calculator!$B$6/100*C129</f>
        <v/>
      </c>
      <c r="I129" s="12">
        <f>Calculator!$B$4*Calculator!$B$7/100*D129</f>
        <v/>
      </c>
      <c r="J129" s="12">
        <f>Calculator!$B$4*Calculator!$B$8/100*E129</f>
        <v/>
      </c>
      <c r="K129" s="12">
        <f>SUM(G129:J129)</f>
        <v/>
      </c>
      <c r="L129" s="12">
        <f>K129/F129</f>
        <v/>
      </c>
      <c r="M129" s="12">
        <f>MAX(M128,K129)</f>
        <v/>
      </c>
      <c r="N129" s="13">
        <f>K129/M129-1</f>
        <v/>
      </c>
      <c r="O129" s="12">
        <f>Calculator!$B$4*B129</f>
        <v/>
      </c>
      <c r="P129" s="12">
        <f>Calculator!$B$4*C129</f>
        <v/>
      </c>
      <c r="Q129" s="12">
        <f>Calculator!$B$4*D129</f>
        <v/>
      </c>
      <c r="R129" s="12">
        <f>Calculator!$B$4*F129</f>
        <v/>
      </c>
    </row>
    <row r="130">
      <c r="A130" s="6">
        <f>Data!A130</f>
        <v/>
      </c>
      <c r="B130" s="16">
        <f>Data!C130/Data!$C$5</f>
        <v/>
      </c>
      <c r="C130" s="16">
        <f>Data!G130/Data!$G$5</f>
        <v/>
      </c>
      <c r="D130" s="16">
        <f>D129*(1+Data!I130/100)</f>
        <v/>
      </c>
      <c r="E130" s="16" t="n">
        <v>1</v>
      </c>
      <c r="F130" s="16">
        <f>F129*(1+Data!H130/100)^(1/12)</f>
        <v/>
      </c>
      <c r="G130" s="12">
        <f>Calculator!$B$4*Calculator!$B$5/100*B130</f>
        <v/>
      </c>
      <c r="H130" s="12">
        <f>Calculator!$B$4*Calculator!$B$6/100*C130</f>
        <v/>
      </c>
      <c r="I130" s="12">
        <f>Calculator!$B$4*Calculator!$B$7/100*D130</f>
        <v/>
      </c>
      <c r="J130" s="12">
        <f>Calculator!$B$4*Calculator!$B$8/100*E130</f>
        <v/>
      </c>
      <c r="K130" s="12">
        <f>SUM(G130:J130)</f>
        <v/>
      </c>
      <c r="L130" s="12">
        <f>K130/F130</f>
        <v/>
      </c>
      <c r="M130" s="12">
        <f>MAX(M129,K130)</f>
        <v/>
      </c>
      <c r="N130" s="13">
        <f>K130/M130-1</f>
        <v/>
      </c>
      <c r="O130" s="12">
        <f>Calculator!$B$4*B130</f>
        <v/>
      </c>
      <c r="P130" s="12">
        <f>Calculator!$B$4*C130</f>
        <v/>
      </c>
      <c r="Q130" s="12">
        <f>Calculator!$B$4*D130</f>
        <v/>
      </c>
      <c r="R130" s="12">
        <f>Calculator!$B$4*F130</f>
        <v/>
      </c>
    </row>
    <row r="131">
      <c r="A131" s="6">
        <f>Data!A131</f>
        <v/>
      </c>
      <c r="B131" s="16">
        <f>Data!C131/Data!$C$5</f>
        <v/>
      </c>
      <c r="C131" s="16">
        <f>Data!G131/Data!$G$5</f>
        <v/>
      </c>
      <c r="D131" s="16">
        <f>D130*(1+Data!I131/100)</f>
        <v/>
      </c>
      <c r="E131" s="16" t="n">
        <v>1</v>
      </c>
      <c r="F131" s="16">
        <f>F130*(1+Data!H131/100)^(1/12)</f>
        <v/>
      </c>
      <c r="G131" s="12">
        <f>Calculator!$B$4*Calculator!$B$5/100*B131</f>
        <v/>
      </c>
      <c r="H131" s="12">
        <f>Calculator!$B$4*Calculator!$B$6/100*C131</f>
        <v/>
      </c>
      <c r="I131" s="12">
        <f>Calculator!$B$4*Calculator!$B$7/100*D131</f>
        <v/>
      </c>
      <c r="J131" s="12">
        <f>Calculator!$B$4*Calculator!$B$8/100*E131</f>
        <v/>
      </c>
      <c r="K131" s="12">
        <f>SUM(G131:J131)</f>
        <v/>
      </c>
      <c r="L131" s="12">
        <f>K131/F131</f>
        <v/>
      </c>
      <c r="M131" s="12">
        <f>MAX(M130,K131)</f>
        <v/>
      </c>
      <c r="N131" s="13">
        <f>K131/M131-1</f>
        <v/>
      </c>
      <c r="O131" s="12">
        <f>Calculator!$B$4*B131</f>
        <v/>
      </c>
      <c r="P131" s="12">
        <f>Calculator!$B$4*C131</f>
        <v/>
      </c>
      <c r="Q131" s="12">
        <f>Calculator!$B$4*D131</f>
        <v/>
      </c>
      <c r="R131" s="12">
        <f>Calculator!$B$4*F131</f>
        <v/>
      </c>
    </row>
    <row r="132">
      <c r="A132" s="6">
        <f>Data!A132</f>
        <v/>
      </c>
      <c r="B132" s="16">
        <f>Data!C132/Data!$C$5</f>
        <v/>
      </c>
      <c r="C132" s="16">
        <f>Data!G132/Data!$G$5</f>
        <v/>
      </c>
      <c r="D132" s="16">
        <f>D131*(1+Data!I132/100)</f>
        <v/>
      </c>
      <c r="E132" s="16" t="n">
        <v>1</v>
      </c>
      <c r="F132" s="16">
        <f>F131*(1+Data!H132/100)^(1/12)</f>
        <v/>
      </c>
      <c r="G132" s="12">
        <f>Calculator!$B$4*Calculator!$B$5/100*B132</f>
        <v/>
      </c>
      <c r="H132" s="12">
        <f>Calculator!$B$4*Calculator!$B$6/100*C132</f>
        <v/>
      </c>
      <c r="I132" s="12">
        <f>Calculator!$B$4*Calculator!$B$7/100*D132</f>
        <v/>
      </c>
      <c r="J132" s="12">
        <f>Calculator!$B$4*Calculator!$B$8/100*E132</f>
        <v/>
      </c>
      <c r="K132" s="12">
        <f>SUM(G132:J132)</f>
        <v/>
      </c>
      <c r="L132" s="12">
        <f>K132/F132</f>
        <v/>
      </c>
      <c r="M132" s="12">
        <f>MAX(M131,K132)</f>
        <v/>
      </c>
      <c r="N132" s="13">
        <f>K132/M132-1</f>
        <v/>
      </c>
      <c r="O132" s="12">
        <f>Calculator!$B$4*B132</f>
        <v/>
      </c>
      <c r="P132" s="12">
        <f>Calculator!$B$4*C132</f>
        <v/>
      </c>
      <c r="Q132" s="12">
        <f>Calculator!$B$4*D132</f>
        <v/>
      </c>
      <c r="R132" s="12">
        <f>Calculator!$B$4*F132</f>
        <v/>
      </c>
    </row>
    <row r="133">
      <c r="A133" s="6">
        <f>Data!A133</f>
        <v/>
      </c>
      <c r="B133" s="16">
        <f>Data!C133/Data!$C$5</f>
        <v/>
      </c>
      <c r="C133" s="16">
        <f>Data!G133/Data!$G$5</f>
        <v/>
      </c>
      <c r="D133" s="16">
        <f>D132*(1+Data!I133/100)</f>
        <v/>
      </c>
      <c r="E133" s="16" t="n">
        <v>1</v>
      </c>
      <c r="F133" s="16">
        <f>F132*(1+Data!H133/100)^(1/12)</f>
        <v/>
      </c>
      <c r="G133" s="12">
        <f>Calculator!$B$4*Calculator!$B$5/100*B133</f>
        <v/>
      </c>
      <c r="H133" s="12">
        <f>Calculator!$B$4*Calculator!$B$6/100*C133</f>
        <v/>
      </c>
      <c r="I133" s="12">
        <f>Calculator!$B$4*Calculator!$B$7/100*D133</f>
        <v/>
      </c>
      <c r="J133" s="12">
        <f>Calculator!$B$4*Calculator!$B$8/100*E133</f>
        <v/>
      </c>
      <c r="K133" s="12">
        <f>SUM(G133:J133)</f>
        <v/>
      </c>
      <c r="L133" s="12">
        <f>K133/F133</f>
        <v/>
      </c>
      <c r="M133" s="12">
        <f>MAX(M132,K133)</f>
        <v/>
      </c>
      <c r="N133" s="13">
        <f>K133/M133-1</f>
        <v/>
      </c>
      <c r="O133" s="12">
        <f>Calculator!$B$4*B133</f>
        <v/>
      </c>
      <c r="P133" s="12">
        <f>Calculator!$B$4*C133</f>
        <v/>
      </c>
      <c r="Q133" s="12">
        <f>Calculator!$B$4*D133</f>
        <v/>
      </c>
      <c r="R133" s="12">
        <f>Calculator!$B$4*F133</f>
        <v/>
      </c>
    </row>
    <row r="134">
      <c r="A134" s="6">
        <f>Data!A134</f>
        <v/>
      </c>
      <c r="B134" s="16">
        <f>Data!C134/Data!$C$5</f>
        <v/>
      </c>
      <c r="C134" s="16">
        <f>Data!G134/Data!$G$5</f>
        <v/>
      </c>
      <c r="D134" s="16">
        <f>D133*(1+Data!I134/100)</f>
        <v/>
      </c>
      <c r="E134" s="16" t="n">
        <v>1</v>
      </c>
      <c r="F134" s="16">
        <f>F133*(1+Data!H134/100)^(1/12)</f>
        <v/>
      </c>
      <c r="G134" s="12">
        <f>Calculator!$B$4*Calculator!$B$5/100*B134</f>
        <v/>
      </c>
      <c r="H134" s="12">
        <f>Calculator!$B$4*Calculator!$B$6/100*C134</f>
        <v/>
      </c>
      <c r="I134" s="12">
        <f>Calculator!$B$4*Calculator!$B$7/100*D134</f>
        <v/>
      </c>
      <c r="J134" s="12">
        <f>Calculator!$B$4*Calculator!$B$8/100*E134</f>
        <v/>
      </c>
      <c r="K134" s="12">
        <f>SUM(G134:J134)</f>
        <v/>
      </c>
      <c r="L134" s="12">
        <f>K134/F134</f>
        <v/>
      </c>
      <c r="M134" s="12">
        <f>MAX(M133,K134)</f>
        <v/>
      </c>
      <c r="N134" s="13">
        <f>K134/M134-1</f>
        <v/>
      </c>
      <c r="O134" s="12">
        <f>Calculator!$B$4*B134</f>
        <v/>
      </c>
      <c r="P134" s="12">
        <f>Calculator!$B$4*C134</f>
        <v/>
      </c>
      <c r="Q134" s="12">
        <f>Calculator!$B$4*D134</f>
        <v/>
      </c>
      <c r="R134" s="12">
        <f>Calculator!$B$4*F134</f>
        <v/>
      </c>
    </row>
    <row r="135">
      <c r="A135" s="6">
        <f>Data!A135</f>
        <v/>
      </c>
      <c r="B135" s="16">
        <f>Data!C135/Data!$C$5</f>
        <v/>
      </c>
      <c r="C135" s="16">
        <f>Data!G135/Data!$G$5</f>
        <v/>
      </c>
      <c r="D135" s="16">
        <f>D134*(1+Data!I135/100)</f>
        <v/>
      </c>
      <c r="E135" s="16" t="n">
        <v>1</v>
      </c>
      <c r="F135" s="16">
        <f>F134*(1+Data!H135/100)^(1/12)</f>
        <v/>
      </c>
      <c r="G135" s="12">
        <f>Calculator!$B$4*Calculator!$B$5/100*B135</f>
        <v/>
      </c>
      <c r="H135" s="12">
        <f>Calculator!$B$4*Calculator!$B$6/100*C135</f>
        <v/>
      </c>
      <c r="I135" s="12">
        <f>Calculator!$B$4*Calculator!$B$7/100*D135</f>
        <v/>
      </c>
      <c r="J135" s="12">
        <f>Calculator!$B$4*Calculator!$B$8/100*E135</f>
        <v/>
      </c>
      <c r="K135" s="12">
        <f>SUM(G135:J135)</f>
        <v/>
      </c>
      <c r="L135" s="12">
        <f>K135/F135</f>
        <v/>
      </c>
      <c r="M135" s="12">
        <f>MAX(M134,K135)</f>
        <v/>
      </c>
      <c r="N135" s="13">
        <f>K135/M135-1</f>
        <v/>
      </c>
      <c r="O135" s="12">
        <f>Calculator!$B$4*B135</f>
        <v/>
      </c>
      <c r="P135" s="12">
        <f>Calculator!$B$4*C135</f>
        <v/>
      </c>
      <c r="Q135" s="12">
        <f>Calculator!$B$4*D135</f>
        <v/>
      </c>
      <c r="R135" s="12">
        <f>Calculator!$B$4*F135</f>
        <v/>
      </c>
    </row>
    <row r="136">
      <c r="A136" s="6">
        <f>Data!A136</f>
        <v/>
      </c>
      <c r="B136" s="16">
        <f>Data!C136/Data!$C$5</f>
        <v/>
      </c>
      <c r="C136" s="16">
        <f>Data!G136/Data!$G$5</f>
        <v/>
      </c>
      <c r="D136" s="16">
        <f>D135*(1+Data!I136/100)</f>
        <v/>
      </c>
      <c r="E136" s="16" t="n">
        <v>1</v>
      </c>
      <c r="F136" s="16">
        <f>F135*(1+Data!H136/100)^(1/12)</f>
        <v/>
      </c>
      <c r="G136" s="12">
        <f>Calculator!$B$4*Calculator!$B$5/100*B136</f>
        <v/>
      </c>
      <c r="H136" s="12">
        <f>Calculator!$B$4*Calculator!$B$6/100*C136</f>
        <v/>
      </c>
      <c r="I136" s="12">
        <f>Calculator!$B$4*Calculator!$B$7/100*D136</f>
        <v/>
      </c>
      <c r="J136" s="12">
        <f>Calculator!$B$4*Calculator!$B$8/100*E136</f>
        <v/>
      </c>
      <c r="K136" s="12">
        <f>SUM(G136:J136)</f>
        <v/>
      </c>
      <c r="L136" s="12">
        <f>K136/F136</f>
        <v/>
      </c>
      <c r="M136" s="12">
        <f>MAX(M135,K136)</f>
        <v/>
      </c>
      <c r="N136" s="13">
        <f>K136/M136-1</f>
        <v/>
      </c>
      <c r="O136" s="12">
        <f>Calculator!$B$4*B136</f>
        <v/>
      </c>
      <c r="P136" s="12">
        <f>Calculator!$B$4*C136</f>
        <v/>
      </c>
      <c r="Q136" s="12">
        <f>Calculator!$B$4*D136</f>
        <v/>
      </c>
      <c r="R136" s="12">
        <f>Calculator!$B$4*F136</f>
        <v/>
      </c>
    </row>
    <row r="137">
      <c r="A137" s="6">
        <f>Data!A137</f>
        <v/>
      </c>
      <c r="B137" s="16">
        <f>Data!C137/Data!$C$5</f>
        <v/>
      </c>
      <c r="C137" s="16">
        <f>Data!G137/Data!$G$5</f>
        <v/>
      </c>
      <c r="D137" s="16">
        <f>D136*(1+Data!I137/100)</f>
        <v/>
      </c>
      <c r="E137" s="16" t="n">
        <v>1</v>
      </c>
      <c r="F137" s="16">
        <f>F136*(1+Data!H137/100)^(1/12)</f>
        <v/>
      </c>
      <c r="G137" s="12">
        <f>Calculator!$B$4*Calculator!$B$5/100*B137</f>
        <v/>
      </c>
      <c r="H137" s="12">
        <f>Calculator!$B$4*Calculator!$B$6/100*C137</f>
        <v/>
      </c>
      <c r="I137" s="12">
        <f>Calculator!$B$4*Calculator!$B$7/100*D137</f>
        <v/>
      </c>
      <c r="J137" s="12">
        <f>Calculator!$B$4*Calculator!$B$8/100*E137</f>
        <v/>
      </c>
      <c r="K137" s="12">
        <f>SUM(G137:J137)</f>
        <v/>
      </c>
      <c r="L137" s="12">
        <f>K137/F137</f>
        <v/>
      </c>
      <c r="M137" s="12">
        <f>MAX(M136,K137)</f>
        <v/>
      </c>
      <c r="N137" s="13">
        <f>K137/M137-1</f>
        <v/>
      </c>
      <c r="O137" s="12">
        <f>Calculator!$B$4*B137</f>
        <v/>
      </c>
      <c r="P137" s="12">
        <f>Calculator!$B$4*C137</f>
        <v/>
      </c>
      <c r="Q137" s="12">
        <f>Calculator!$B$4*D137</f>
        <v/>
      </c>
      <c r="R137" s="12">
        <f>Calculator!$B$4*F137</f>
        <v/>
      </c>
    </row>
    <row r="138">
      <c r="A138" s="6">
        <f>Data!A138</f>
        <v/>
      </c>
      <c r="B138" s="16">
        <f>Data!C138/Data!$C$5</f>
        <v/>
      </c>
      <c r="C138" s="16">
        <f>Data!G138/Data!$G$5</f>
        <v/>
      </c>
      <c r="D138" s="16">
        <f>D137*(1+Data!I138/100)</f>
        <v/>
      </c>
      <c r="E138" s="16" t="n">
        <v>1</v>
      </c>
      <c r="F138" s="16">
        <f>F137*(1+Data!H138/100)^(1/12)</f>
        <v/>
      </c>
      <c r="G138" s="12">
        <f>Calculator!$B$4*Calculator!$B$5/100*B138</f>
        <v/>
      </c>
      <c r="H138" s="12">
        <f>Calculator!$B$4*Calculator!$B$6/100*C138</f>
        <v/>
      </c>
      <c r="I138" s="12">
        <f>Calculator!$B$4*Calculator!$B$7/100*D138</f>
        <v/>
      </c>
      <c r="J138" s="12">
        <f>Calculator!$B$4*Calculator!$B$8/100*E138</f>
        <v/>
      </c>
      <c r="K138" s="12">
        <f>SUM(G138:J138)</f>
        <v/>
      </c>
      <c r="L138" s="12">
        <f>K138/F138</f>
        <v/>
      </c>
      <c r="M138" s="12">
        <f>MAX(M137,K138)</f>
        <v/>
      </c>
      <c r="N138" s="13">
        <f>K138/M138-1</f>
        <v/>
      </c>
      <c r="O138" s="12">
        <f>Calculator!$B$4*B138</f>
        <v/>
      </c>
      <c r="P138" s="12">
        <f>Calculator!$B$4*C138</f>
        <v/>
      </c>
      <c r="Q138" s="12">
        <f>Calculator!$B$4*D138</f>
        <v/>
      </c>
      <c r="R138" s="12">
        <f>Calculator!$B$4*F138</f>
        <v/>
      </c>
    </row>
    <row r="139">
      <c r="A139" s="6">
        <f>Data!A139</f>
        <v/>
      </c>
      <c r="B139" s="16">
        <f>Data!C139/Data!$C$5</f>
        <v/>
      </c>
      <c r="C139" s="16">
        <f>Data!G139/Data!$G$5</f>
        <v/>
      </c>
      <c r="D139" s="16">
        <f>D138*(1+Data!I139/100)</f>
        <v/>
      </c>
      <c r="E139" s="16" t="n">
        <v>1</v>
      </c>
      <c r="F139" s="16">
        <f>F138*(1+Data!H139/100)^(1/12)</f>
        <v/>
      </c>
      <c r="G139" s="12">
        <f>Calculator!$B$4*Calculator!$B$5/100*B139</f>
        <v/>
      </c>
      <c r="H139" s="12">
        <f>Calculator!$B$4*Calculator!$B$6/100*C139</f>
        <v/>
      </c>
      <c r="I139" s="12">
        <f>Calculator!$B$4*Calculator!$B$7/100*D139</f>
        <v/>
      </c>
      <c r="J139" s="12">
        <f>Calculator!$B$4*Calculator!$B$8/100*E139</f>
        <v/>
      </c>
      <c r="K139" s="12">
        <f>SUM(G139:J139)</f>
        <v/>
      </c>
      <c r="L139" s="12">
        <f>K139/F139</f>
        <v/>
      </c>
      <c r="M139" s="12">
        <f>MAX(M138,K139)</f>
        <v/>
      </c>
      <c r="N139" s="13">
        <f>K139/M139-1</f>
        <v/>
      </c>
      <c r="O139" s="12">
        <f>Calculator!$B$4*B139</f>
        <v/>
      </c>
      <c r="P139" s="12">
        <f>Calculator!$B$4*C139</f>
        <v/>
      </c>
      <c r="Q139" s="12">
        <f>Calculator!$B$4*D139</f>
        <v/>
      </c>
      <c r="R139" s="12">
        <f>Calculator!$B$4*F139</f>
        <v/>
      </c>
    </row>
    <row r="140">
      <c r="A140" s="6">
        <f>Data!A140</f>
        <v/>
      </c>
      <c r="B140" s="16">
        <f>Data!C140/Data!$C$5</f>
        <v/>
      </c>
      <c r="C140" s="16">
        <f>Data!G140/Data!$G$5</f>
        <v/>
      </c>
      <c r="D140" s="16">
        <f>D139*(1+Data!I140/100)</f>
        <v/>
      </c>
      <c r="E140" s="16" t="n">
        <v>1</v>
      </c>
      <c r="F140" s="16">
        <f>F139*(1+Data!H140/100)^(1/12)</f>
        <v/>
      </c>
      <c r="G140" s="12">
        <f>Calculator!$B$4*Calculator!$B$5/100*B140</f>
        <v/>
      </c>
      <c r="H140" s="12">
        <f>Calculator!$B$4*Calculator!$B$6/100*C140</f>
        <v/>
      </c>
      <c r="I140" s="12">
        <f>Calculator!$B$4*Calculator!$B$7/100*D140</f>
        <v/>
      </c>
      <c r="J140" s="12">
        <f>Calculator!$B$4*Calculator!$B$8/100*E140</f>
        <v/>
      </c>
      <c r="K140" s="12">
        <f>SUM(G140:J140)</f>
        <v/>
      </c>
      <c r="L140" s="12">
        <f>K140/F140</f>
        <v/>
      </c>
      <c r="M140" s="12">
        <f>MAX(M139,K140)</f>
        <v/>
      </c>
      <c r="N140" s="13">
        <f>K140/M140-1</f>
        <v/>
      </c>
      <c r="O140" s="12">
        <f>Calculator!$B$4*B140</f>
        <v/>
      </c>
      <c r="P140" s="12">
        <f>Calculator!$B$4*C140</f>
        <v/>
      </c>
      <c r="Q140" s="12">
        <f>Calculator!$B$4*D140</f>
        <v/>
      </c>
      <c r="R140" s="12">
        <f>Calculator!$B$4*F140</f>
        <v/>
      </c>
    </row>
    <row r="141">
      <c r="A141" s="6">
        <f>Data!A141</f>
        <v/>
      </c>
      <c r="B141" s="16">
        <f>Data!C141/Data!$C$5</f>
        <v/>
      </c>
      <c r="C141" s="16">
        <f>Data!G141/Data!$G$5</f>
        <v/>
      </c>
      <c r="D141" s="16">
        <f>D140*(1+Data!I141/100)</f>
        <v/>
      </c>
      <c r="E141" s="16" t="n">
        <v>1</v>
      </c>
      <c r="F141" s="16">
        <f>F140*(1+Data!H141/100)^(1/12)</f>
        <v/>
      </c>
      <c r="G141" s="12">
        <f>Calculator!$B$4*Calculator!$B$5/100*B141</f>
        <v/>
      </c>
      <c r="H141" s="12">
        <f>Calculator!$B$4*Calculator!$B$6/100*C141</f>
        <v/>
      </c>
      <c r="I141" s="12">
        <f>Calculator!$B$4*Calculator!$B$7/100*D141</f>
        <v/>
      </c>
      <c r="J141" s="12">
        <f>Calculator!$B$4*Calculator!$B$8/100*E141</f>
        <v/>
      </c>
      <c r="K141" s="12">
        <f>SUM(G141:J141)</f>
        <v/>
      </c>
      <c r="L141" s="12">
        <f>K141/F141</f>
        <v/>
      </c>
      <c r="M141" s="12">
        <f>MAX(M140,K141)</f>
        <v/>
      </c>
      <c r="N141" s="13">
        <f>K141/M141-1</f>
        <v/>
      </c>
      <c r="O141" s="12">
        <f>Calculator!$B$4*B141</f>
        <v/>
      </c>
      <c r="P141" s="12">
        <f>Calculator!$B$4*C141</f>
        <v/>
      </c>
      <c r="Q141" s="12">
        <f>Calculator!$B$4*D141</f>
        <v/>
      </c>
      <c r="R141" s="12">
        <f>Calculator!$B$4*F141</f>
        <v/>
      </c>
    </row>
    <row r="142">
      <c r="A142" s="6">
        <f>Data!A142</f>
        <v/>
      </c>
      <c r="B142" s="16">
        <f>Data!C142/Data!$C$5</f>
        <v/>
      </c>
      <c r="C142" s="16">
        <f>Data!G142/Data!$G$5</f>
        <v/>
      </c>
      <c r="D142" s="16">
        <f>D141*(1+Data!I142/100)</f>
        <v/>
      </c>
      <c r="E142" s="16" t="n">
        <v>1</v>
      </c>
      <c r="F142" s="16">
        <f>F141*(1+Data!H142/100)^(1/12)</f>
        <v/>
      </c>
      <c r="G142" s="12">
        <f>Calculator!$B$4*Calculator!$B$5/100*B142</f>
        <v/>
      </c>
      <c r="H142" s="12">
        <f>Calculator!$B$4*Calculator!$B$6/100*C142</f>
        <v/>
      </c>
      <c r="I142" s="12">
        <f>Calculator!$B$4*Calculator!$B$7/100*D142</f>
        <v/>
      </c>
      <c r="J142" s="12">
        <f>Calculator!$B$4*Calculator!$B$8/100*E142</f>
        <v/>
      </c>
      <c r="K142" s="12">
        <f>SUM(G142:J142)</f>
        <v/>
      </c>
      <c r="L142" s="12">
        <f>K142/F142</f>
        <v/>
      </c>
      <c r="M142" s="12">
        <f>MAX(M141,K142)</f>
        <v/>
      </c>
      <c r="N142" s="13">
        <f>K142/M142-1</f>
        <v/>
      </c>
      <c r="O142" s="12">
        <f>Calculator!$B$4*B142</f>
        <v/>
      </c>
      <c r="P142" s="12">
        <f>Calculator!$B$4*C142</f>
        <v/>
      </c>
      <c r="Q142" s="12">
        <f>Calculator!$B$4*D142</f>
        <v/>
      </c>
      <c r="R142" s="12">
        <f>Calculator!$B$4*F142</f>
        <v/>
      </c>
    </row>
    <row r="143">
      <c r="A143" s="6">
        <f>Data!A143</f>
        <v/>
      </c>
      <c r="B143" s="16">
        <f>Data!C143/Data!$C$5</f>
        <v/>
      </c>
      <c r="C143" s="16">
        <f>Data!G143/Data!$G$5</f>
        <v/>
      </c>
      <c r="D143" s="16">
        <f>D142*(1+Data!I143/100)</f>
        <v/>
      </c>
      <c r="E143" s="16" t="n">
        <v>1</v>
      </c>
      <c r="F143" s="16">
        <f>F142*(1+Data!H143/100)^(1/12)</f>
        <v/>
      </c>
      <c r="G143" s="12">
        <f>Calculator!$B$4*Calculator!$B$5/100*B143</f>
        <v/>
      </c>
      <c r="H143" s="12">
        <f>Calculator!$B$4*Calculator!$B$6/100*C143</f>
        <v/>
      </c>
      <c r="I143" s="12">
        <f>Calculator!$B$4*Calculator!$B$7/100*D143</f>
        <v/>
      </c>
      <c r="J143" s="12">
        <f>Calculator!$B$4*Calculator!$B$8/100*E143</f>
        <v/>
      </c>
      <c r="K143" s="12">
        <f>SUM(G143:J143)</f>
        <v/>
      </c>
      <c r="L143" s="12">
        <f>K143/F143</f>
        <v/>
      </c>
      <c r="M143" s="12">
        <f>MAX(M142,K143)</f>
        <v/>
      </c>
      <c r="N143" s="13">
        <f>K143/M143-1</f>
        <v/>
      </c>
      <c r="O143" s="12">
        <f>Calculator!$B$4*B143</f>
        <v/>
      </c>
      <c r="P143" s="12">
        <f>Calculator!$B$4*C143</f>
        <v/>
      </c>
      <c r="Q143" s="12">
        <f>Calculator!$B$4*D143</f>
        <v/>
      </c>
      <c r="R143" s="12">
        <f>Calculator!$B$4*F143</f>
        <v/>
      </c>
    </row>
    <row r="144">
      <c r="A144" s="6">
        <f>Data!A144</f>
        <v/>
      </c>
      <c r="B144" s="16">
        <f>Data!C144/Data!$C$5</f>
        <v/>
      </c>
      <c r="C144" s="16">
        <f>Data!G144/Data!$G$5</f>
        <v/>
      </c>
      <c r="D144" s="16">
        <f>D143*(1+Data!I144/100)</f>
        <v/>
      </c>
      <c r="E144" s="16" t="n">
        <v>1</v>
      </c>
      <c r="F144" s="16">
        <f>F143*(1+Data!H144/100)^(1/12)</f>
        <v/>
      </c>
      <c r="G144" s="12">
        <f>Calculator!$B$4*Calculator!$B$5/100*B144</f>
        <v/>
      </c>
      <c r="H144" s="12">
        <f>Calculator!$B$4*Calculator!$B$6/100*C144</f>
        <v/>
      </c>
      <c r="I144" s="12">
        <f>Calculator!$B$4*Calculator!$B$7/100*D144</f>
        <v/>
      </c>
      <c r="J144" s="12">
        <f>Calculator!$B$4*Calculator!$B$8/100*E144</f>
        <v/>
      </c>
      <c r="K144" s="12">
        <f>SUM(G144:J144)</f>
        <v/>
      </c>
      <c r="L144" s="12">
        <f>K144/F144</f>
        <v/>
      </c>
      <c r="M144" s="12">
        <f>MAX(M143,K144)</f>
        <v/>
      </c>
      <c r="N144" s="13">
        <f>K144/M144-1</f>
        <v/>
      </c>
      <c r="O144" s="12">
        <f>Calculator!$B$4*B144</f>
        <v/>
      </c>
      <c r="P144" s="12">
        <f>Calculator!$B$4*C144</f>
        <v/>
      </c>
      <c r="Q144" s="12">
        <f>Calculator!$B$4*D144</f>
        <v/>
      </c>
      <c r="R144" s="12">
        <f>Calculator!$B$4*F144</f>
        <v/>
      </c>
    </row>
    <row r="145">
      <c r="A145" s="6">
        <f>Data!A145</f>
        <v/>
      </c>
      <c r="B145" s="16">
        <f>Data!C145/Data!$C$5</f>
        <v/>
      </c>
      <c r="C145" s="16">
        <f>Data!G145/Data!$G$5</f>
        <v/>
      </c>
      <c r="D145" s="16">
        <f>D144*(1+Data!I145/100)</f>
        <v/>
      </c>
      <c r="E145" s="16" t="n">
        <v>1</v>
      </c>
      <c r="F145" s="16">
        <f>F144*(1+Data!H145/100)^(1/12)</f>
        <v/>
      </c>
      <c r="G145" s="12">
        <f>Calculator!$B$4*Calculator!$B$5/100*B145</f>
        <v/>
      </c>
      <c r="H145" s="12">
        <f>Calculator!$B$4*Calculator!$B$6/100*C145</f>
        <v/>
      </c>
      <c r="I145" s="12">
        <f>Calculator!$B$4*Calculator!$B$7/100*D145</f>
        <v/>
      </c>
      <c r="J145" s="12">
        <f>Calculator!$B$4*Calculator!$B$8/100*E145</f>
        <v/>
      </c>
      <c r="K145" s="12">
        <f>SUM(G145:J145)</f>
        <v/>
      </c>
      <c r="L145" s="12">
        <f>K145/F145</f>
        <v/>
      </c>
      <c r="M145" s="12">
        <f>MAX(M144,K145)</f>
        <v/>
      </c>
      <c r="N145" s="13">
        <f>K145/M145-1</f>
        <v/>
      </c>
      <c r="O145" s="12">
        <f>Calculator!$B$4*B145</f>
        <v/>
      </c>
      <c r="P145" s="12">
        <f>Calculator!$B$4*C145</f>
        <v/>
      </c>
      <c r="Q145" s="12">
        <f>Calculator!$B$4*D145</f>
        <v/>
      </c>
      <c r="R145" s="12">
        <f>Calculator!$B$4*F145</f>
        <v/>
      </c>
    </row>
    <row r="146">
      <c r="A146" s="6">
        <f>Data!A146</f>
        <v/>
      </c>
      <c r="B146" s="16">
        <f>Data!C146/Data!$C$5</f>
        <v/>
      </c>
      <c r="C146" s="16">
        <f>Data!G146/Data!$G$5</f>
        <v/>
      </c>
      <c r="D146" s="16">
        <f>D145*(1+Data!I146/100)</f>
        <v/>
      </c>
      <c r="E146" s="16" t="n">
        <v>1</v>
      </c>
      <c r="F146" s="16">
        <f>F145*(1+Data!H146/100)^(1/12)</f>
        <v/>
      </c>
      <c r="G146" s="12">
        <f>Calculator!$B$4*Calculator!$B$5/100*B146</f>
        <v/>
      </c>
      <c r="H146" s="12">
        <f>Calculator!$B$4*Calculator!$B$6/100*C146</f>
        <v/>
      </c>
      <c r="I146" s="12">
        <f>Calculator!$B$4*Calculator!$B$7/100*D146</f>
        <v/>
      </c>
      <c r="J146" s="12">
        <f>Calculator!$B$4*Calculator!$B$8/100*E146</f>
        <v/>
      </c>
      <c r="K146" s="12">
        <f>SUM(G146:J146)</f>
        <v/>
      </c>
      <c r="L146" s="12">
        <f>K146/F146</f>
        <v/>
      </c>
      <c r="M146" s="12">
        <f>MAX(M145,K146)</f>
        <v/>
      </c>
      <c r="N146" s="13">
        <f>K146/M146-1</f>
        <v/>
      </c>
      <c r="O146" s="12">
        <f>Calculator!$B$4*B146</f>
        <v/>
      </c>
      <c r="P146" s="12">
        <f>Calculator!$B$4*C146</f>
        <v/>
      </c>
      <c r="Q146" s="12">
        <f>Calculator!$B$4*D146</f>
        <v/>
      </c>
      <c r="R146" s="12">
        <f>Calculator!$B$4*F146</f>
        <v/>
      </c>
    </row>
    <row r="147">
      <c r="A147" s="6">
        <f>Data!A147</f>
        <v/>
      </c>
      <c r="B147" s="16">
        <f>Data!C147/Data!$C$5</f>
        <v/>
      </c>
      <c r="C147" s="16">
        <f>Data!G147/Data!$G$5</f>
        <v/>
      </c>
      <c r="D147" s="16">
        <f>D146*(1+Data!I147/100)</f>
        <v/>
      </c>
      <c r="E147" s="16" t="n">
        <v>1</v>
      </c>
      <c r="F147" s="16">
        <f>F146*(1+Data!H147/100)^(1/12)</f>
        <v/>
      </c>
      <c r="G147" s="12">
        <f>Calculator!$B$4*Calculator!$B$5/100*B147</f>
        <v/>
      </c>
      <c r="H147" s="12">
        <f>Calculator!$B$4*Calculator!$B$6/100*C147</f>
        <v/>
      </c>
      <c r="I147" s="12">
        <f>Calculator!$B$4*Calculator!$B$7/100*D147</f>
        <v/>
      </c>
      <c r="J147" s="12">
        <f>Calculator!$B$4*Calculator!$B$8/100*E147</f>
        <v/>
      </c>
      <c r="K147" s="12">
        <f>SUM(G147:J147)</f>
        <v/>
      </c>
      <c r="L147" s="12">
        <f>K147/F147</f>
        <v/>
      </c>
      <c r="M147" s="12">
        <f>MAX(M146,K147)</f>
        <v/>
      </c>
      <c r="N147" s="13">
        <f>K147/M147-1</f>
        <v/>
      </c>
      <c r="O147" s="12">
        <f>Calculator!$B$4*B147</f>
        <v/>
      </c>
      <c r="P147" s="12">
        <f>Calculator!$B$4*C147</f>
        <v/>
      </c>
      <c r="Q147" s="12">
        <f>Calculator!$B$4*D147</f>
        <v/>
      </c>
      <c r="R147" s="12">
        <f>Calculator!$B$4*F147</f>
        <v/>
      </c>
    </row>
    <row r="148">
      <c r="A148" s="6">
        <f>Data!A148</f>
        <v/>
      </c>
      <c r="B148" s="16">
        <f>Data!C148/Data!$C$5</f>
        <v/>
      </c>
      <c r="C148" s="16">
        <f>Data!G148/Data!$G$5</f>
        <v/>
      </c>
      <c r="D148" s="16">
        <f>D147*(1+Data!I148/100)</f>
        <v/>
      </c>
      <c r="E148" s="16" t="n">
        <v>1</v>
      </c>
      <c r="F148" s="16">
        <f>F147*(1+Data!H148/100)^(1/12)</f>
        <v/>
      </c>
      <c r="G148" s="12">
        <f>Calculator!$B$4*Calculator!$B$5/100*B148</f>
        <v/>
      </c>
      <c r="H148" s="12">
        <f>Calculator!$B$4*Calculator!$B$6/100*C148</f>
        <v/>
      </c>
      <c r="I148" s="12">
        <f>Calculator!$B$4*Calculator!$B$7/100*D148</f>
        <v/>
      </c>
      <c r="J148" s="12">
        <f>Calculator!$B$4*Calculator!$B$8/100*E148</f>
        <v/>
      </c>
      <c r="K148" s="12">
        <f>SUM(G148:J148)</f>
        <v/>
      </c>
      <c r="L148" s="12">
        <f>K148/F148</f>
        <v/>
      </c>
      <c r="M148" s="12">
        <f>MAX(M147,K148)</f>
        <v/>
      </c>
      <c r="N148" s="13">
        <f>K148/M148-1</f>
        <v/>
      </c>
      <c r="O148" s="12">
        <f>Calculator!$B$4*B148</f>
        <v/>
      </c>
      <c r="P148" s="12">
        <f>Calculator!$B$4*C148</f>
        <v/>
      </c>
      <c r="Q148" s="12">
        <f>Calculator!$B$4*D148</f>
        <v/>
      </c>
      <c r="R148" s="12">
        <f>Calculator!$B$4*F148</f>
        <v/>
      </c>
    </row>
    <row r="149">
      <c r="A149" s="6">
        <f>Data!A149</f>
        <v/>
      </c>
      <c r="B149" s="16">
        <f>Data!C149/Data!$C$5</f>
        <v/>
      </c>
      <c r="C149" s="16">
        <f>Data!G149/Data!$G$5</f>
        <v/>
      </c>
      <c r="D149" s="16">
        <f>D148*(1+Data!I149/100)</f>
        <v/>
      </c>
      <c r="E149" s="16" t="n">
        <v>1</v>
      </c>
      <c r="F149" s="16">
        <f>F148*(1+Data!H149/100)^(1/12)</f>
        <v/>
      </c>
      <c r="G149" s="12">
        <f>Calculator!$B$4*Calculator!$B$5/100*B149</f>
        <v/>
      </c>
      <c r="H149" s="12">
        <f>Calculator!$B$4*Calculator!$B$6/100*C149</f>
        <v/>
      </c>
      <c r="I149" s="12">
        <f>Calculator!$B$4*Calculator!$B$7/100*D149</f>
        <v/>
      </c>
      <c r="J149" s="12">
        <f>Calculator!$B$4*Calculator!$B$8/100*E149</f>
        <v/>
      </c>
      <c r="K149" s="12">
        <f>SUM(G149:J149)</f>
        <v/>
      </c>
      <c r="L149" s="12">
        <f>K149/F149</f>
        <v/>
      </c>
      <c r="M149" s="12">
        <f>MAX(M148,K149)</f>
        <v/>
      </c>
      <c r="N149" s="13">
        <f>K149/M149-1</f>
        <v/>
      </c>
      <c r="O149" s="12">
        <f>Calculator!$B$4*B149</f>
        <v/>
      </c>
      <c r="P149" s="12">
        <f>Calculator!$B$4*C149</f>
        <v/>
      </c>
      <c r="Q149" s="12">
        <f>Calculator!$B$4*D149</f>
        <v/>
      </c>
      <c r="R149" s="12">
        <f>Calculator!$B$4*F149</f>
        <v/>
      </c>
    </row>
    <row r="150">
      <c r="A150" s="6">
        <f>Data!A150</f>
        <v/>
      </c>
      <c r="B150" s="16">
        <f>Data!C150/Data!$C$5</f>
        <v/>
      </c>
      <c r="C150" s="16">
        <f>Data!G150/Data!$G$5</f>
        <v/>
      </c>
      <c r="D150" s="16">
        <f>D149*(1+Data!I150/100)</f>
        <v/>
      </c>
      <c r="E150" s="16" t="n">
        <v>1</v>
      </c>
      <c r="F150" s="16">
        <f>F149*(1+Data!H150/100)^(1/12)</f>
        <v/>
      </c>
      <c r="G150" s="12">
        <f>Calculator!$B$4*Calculator!$B$5/100*B150</f>
        <v/>
      </c>
      <c r="H150" s="12">
        <f>Calculator!$B$4*Calculator!$B$6/100*C150</f>
        <v/>
      </c>
      <c r="I150" s="12">
        <f>Calculator!$B$4*Calculator!$B$7/100*D150</f>
        <v/>
      </c>
      <c r="J150" s="12">
        <f>Calculator!$B$4*Calculator!$B$8/100*E150</f>
        <v/>
      </c>
      <c r="K150" s="12">
        <f>SUM(G150:J150)</f>
        <v/>
      </c>
      <c r="L150" s="12">
        <f>K150/F150</f>
        <v/>
      </c>
      <c r="M150" s="12">
        <f>MAX(M149,K150)</f>
        <v/>
      </c>
      <c r="N150" s="13">
        <f>K150/M150-1</f>
        <v/>
      </c>
      <c r="O150" s="12">
        <f>Calculator!$B$4*B150</f>
        <v/>
      </c>
      <c r="P150" s="12">
        <f>Calculator!$B$4*C150</f>
        <v/>
      </c>
      <c r="Q150" s="12">
        <f>Calculator!$B$4*D150</f>
        <v/>
      </c>
      <c r="R150" s="12">
        <f>Calculator!$B$4*F150</f>
        <v/>
      </c>
    </row>
    <row r="151">
      <c r="A151" s="6">
        <f>Data!A151</f>
        <v/>
      </c>
      <c r="B151" s="16">
        <f>Data!C151/Data!$C$5</f>
        <v/>
      </c>
      <c r="C151" s="16">
        <f>Data!G151/Data!$G$5</f>
        <v/>
      </c>
      <c r="D151" s="16">
        <f>D150*(1+Data!I151/100)</f>
        <v/>
      </c>
      <c r="E151" s="16" t="n">
        <v>1</v>
      </c>
      <c r="F151" s="16">
        <f>F150*(1+Data!H151/100)^(1/12)</f>
        <v/>
      </c>
      <c r="G151" s="12">
        <f>Calculator!$B$4*Calculator!$B$5/100*B151</f>
        <v/>
      </c>
      <c r="H151" s="12">
        <f>Calculator!$B$4*Calculator!$B$6/100*C151</f>
        <v/>
      </c>
      <c r="I151" s="12">
        <f>Calculator!$B$4*Calculator!$B$7/100*D151</f>
        <v/>
      </c>
      <c r="J151" s="12">
        <f>Calculator!$B$4*Calculator!$B$8/100*E151</f>
        <v/>
      </c>
      <c r="K151" s="12">
        <f>SUM(G151:J151)</f>
        <v/>
      </c>
      <c r="L151" s="12">
        <f>K151/F151</f>
        <v/>
      </c>
      <c r="M151" s="12">
        <f>MAX(M150,K151)</f>
        <v/>
      </c>
      <c r="N151" s="13">
        <f>K151/M151-1</f>
        <v/>
      </c>
      <c r="O151" s="12">
        <f>Calculator!$B$4*B151</f>
        <v/>
      </c>
      <c r="P151" s="12">
        <f>Calculator!$B$4*C151</f>
        <v/>
      </c>
      <c r="Q151" s="12">
        <f>Calculator!$B$4*D151</f>
        <v/>
      </c>
      <c r="R151" s="12">
        <f>Calculator!$B$4*F151</f>
        <v/>
      </c>
    </row>
    <row r="152">
      <c r="A152" s="6">
        <f>Data!A152</f>
        <v/>
      </c>
      <c r="B152" s="16">
        <f>Data!C152/Data!$C$5</f>
        <v/>
      </c>
      <c r="C152" s="16">
        <f>Data!G152/Data!$G$5</f>
        <v/>
      </c>
      <c r="D152" s="16">
        <f>D151*(1+Data!I152/100)</f>
        <v/>
      </c>
      <c r="E152" s="16" t="n">
        <v>1</v>
      </c>
      <c r="F152" s="16">
        <f>F151*(1+Data!H152/100)^(1/12)</f>
        <v/>
      </c>
      <c r="G152" s="12">
        <f>Calculator!$B$4*Calculator!$B$5/100*B152</f>
        <v/>
      </c>
      <c r="H152" s="12">
        <f>Calculator!$B$4*Calculator!$B$6/100*C152</f>
        <v/>
      </c>
      <c r="I152" s="12">
        <f>Calculator!$B$4*Calculator!$B$7/100*D152</f>
        <v/>
      </c>
      <c r="J152" s="12">
        <f>Calculator!$B$4*Calculator!$B$8/100*E152</f>
        <v/>
      </c>
      <c r="K152" s="12">
        <f>SUM(G152:J152)</f>
        <v/>
      </c>
      <c r="L152" s="12">
        <f>K152/F152</f>
        <v/>
      </c>
      <c r="M152" s="12">
        <f>MAX(M151,K152)</f>
        <v/>
      </c>
      <c r="N152" s="13">
        <f>K152/M152-1</f>
        <v/>
      </c>
      <c r="O152" s="12">
        <f>Calculator!$B$4*B152</f>
        <v/>
      </c>
      <c r="P152" s="12">
        <f>Calculator!$B$4*C152</f>
        <v/>
      </c>
      <c r="Q152" s="12">
        <f>Calculator!$B$4*D152</f>
        <v/>
      </c>
      <c r="R152" s="12">
        <f>Calculator!$B$4*F152</f>
        <v/>
      </c>
    </row>
    <row r="153">
      <c r="A153" s="6">
        <f>Data!A153</f>
        <v/>
      </c>
      <c r="B153" s="16">
        <f>Data!C153/Data!$C$5</f>
        <v/>
      </c>
      <c r="C153" s="16">
        <f>Data!G153/Data!$G$5</f>
        <v/>
      </c>
      <c r="D153" s="16">
        <f>D152*(1+Data!I153/100)</f>
        <v/>
      </c>
      <c r="E153" s="16" t="n">
        <v>1</v>
      </c>
      <c r="F153" s="16">
        <f>F152*(1+Data!H153/100)^(1/12)</f>
        <v/>
      </c>
      <c r="G153" s="12">
        <f>Calculator!$B$4*Calculator!$B$5/100*B153</f>
        <v/>
      </c>
      <c r="H153" s="12">
        <f>Calculator!$B$4*Calculator!$B$6/100*C153</f>
        <v/>
      </c>
      <c r="I153" s="12">
        <f>Calculator!$B$4*Calculator!$B$7/100*D153</f>
        <v/>
      </c>
      <c r="J153" s="12">
        <f>Calculator!$B$4*Calculator!$B$8/100*E153</f>
        <v/>
      </c>
      <c r="K153" s="12">
        <f>SUM(G153:J153)</f>
        <v/>
      </c>
      <c r="L153" s="12">
        <f>K153/F153</f>
        <v/>
      </c>
      <c r="M153" s="12">
        <f>MAX(M152,K153)</f>
        <v/>
      </c>
      <c r="N153" s="13">
        <f>K153/M153-1</f>
        <v/>
      </c>
      <c r="O153" s="12">
        <f>Calculator!$B$4*B153</f>
        <v/>
      </c>
      <c r="P153" s="12">
        <f>Calculator!$B$4*C153</f>
        <v/>
      </c>
      <c r="Q153" s="12">
        <f>Calculator!$B$4*D153</f>
        <v/>
      </c>
      <c r="R153" s="12">
        <f>Calculator!$B$4*F153</f>
        <v/>
      </c>
    </row>
    <row r="154">
      <c r="A154" s="6">
        <f>Data!A154</f>
        <v/>
      </c>
      <c r="B154" s="16">
        <f>Data!C154/Data!$C$5</f>
        <v/>
      </c>
      <c r="C154" s="16">
        <f>Data!G154/Data!$G$5</f>
        <v/>
      </c>
      <c r="D154" s="16">
        <f>D153*(1+Data!I154/100)</f>
        <v/>
      </c>
      <c r="E154" s="16" t="n">
        <v>1</v>
      </c>
      <c r="F154" s="16">
        <f>F153*(1+Data!H154/100)^(1/12)</f>
        <v/>
      </c>
      <c r="G154" s="12">
        <f>Calculator!$B$4*Calculator!$B$5/100*B154</f>
        <v/>
      </c>
      <c r="H154" s="12">
        <f>Calculator!$B$4*Calculator!$B$6/100*C154</f>
        <v/>
      </c>
      <c r="I154" s="12">
        <f>Calculator!$B$4*Calculator!$B$7/100*D154</f>
        <v/>
      </c>
      <c r="J154" s="12">
        <f>Calculator!$B$4*Calculator!$B$8/100*E154</f>
        <v/>
      </c>
      <c r="K154" s="12">
        <f>SUM(G154:J154)</f>
        <v/>
      </c>
      <c r="L154" s="12">
        <f>K154/F154</f>
        <v/>
      </c>
      <c r="M154" s="12">
        <f>MAX(M153,K154)</f>
        <v/>
      </c>
      <c r="N154" s="13">
        <f>K154/M154-1</f>
        <v/>
      </c>
      <c r="O154" s="12">
        <f>Calculator!$B$4*B154</f>
        <v/>
      </c>
      <c r="P154" s="12">
        <f>Calculator!$B$4*C154</f>
        <v/>
      </c>
      <c r="Q154" s="12">
        <f>Calculator!$B$4*D154</f>
        <v/>
      </c>
      <c r="R154" s="12">
        <f>Calculator!$B$4*F154</f>
        <v/>
      </c>
    </row>
    <row r="155">
      <c r="A155" s="6">
        <f>Data!A155</f>
        <v/>
      </c>
      <c r="B155" s="16">
        <f>Data!C155/Data!$C$5</f>
        <v/>
      </c>
      <c r="C155" s="16">
        <f>Data!G155/Data!$G$5</f>
        <v/>
      </c>
      <c r="D155" s="16">
        <f>D154*(1+Data!I155/100)</f>
        <v/>
      </c>
      <c r="E155" s="16" t="n">
        <v>1</v>
      </c>
      <c r="F155" s="16">
        <f>F154*(1+Data!H155/100)^(1/12)</f>
        <v/>
      </c>
      <c r="G155" s="12">
        <f>Calculator!$B$4*Calculator!$B$5/100*B155</f>
        <v/>
      </c>
      <c r="H155" s="12">
        <f>Calculator!$B$4*Calculator!$B$6/100*C155</f>
        <v/>
      </c>
      <c r="I155" s="12">
        <f>Calculator!$B$4*Calculator!$B$7/100*D155</f>
        <v/>
      </c>
      <c r="J155" s="12">
        <f>Calculator!$B$4*Calculator!$B$8/100*E155</f>
        <v/>
      </c>
      <c r="K155" s="12">
        <f>SUM(G155:J155)</f>
        <v/>
      </c>
      <c r="L155" s="12">
        <f>K155/F155</f>
        <v/>
      </c>
      <c r="M155" s="12">
        <f>MAX(M154,K155)</f>
        <v/>
      </c>
      <c r="N155" s="13">
        <f>K155/M155-1</f>
        <v/>
      </c>
      <c r="O155" s="12">
        <f>Calculator!$B$4*B155</f>
        <v/>
      </c>
      <c r="P155" s="12">
        <f>Calculator!$B$4*C155</f>
        <v/>
      </c>
      <c r="Q155" s="12">
        <f>Calculator!$B$4*D155</f>
        <v/>
      </c>
      <c r="R155" s="12">
        <f>Calculator!$B$4*F155</f>
        <v/>
      </c>
    </row>
    <row r="156">
      <c r="A156" s="6">
        <f>Data!A156</f>
        <v/>
      </c>
      <c r="B156" s="16">
        <f>Data!C156/Data!$C$5</f>
        <v/>
      </c>
      <c r="C156" s="16">
        <f>Data!G156/Data!$G$5</f>
        <v/>
      </c>
      <c r="D156" s="16">
        <f>D155*(1+Data!I156/100)</f>
        <v/>
      </c>
      <c r="E156" s="16" t="n">
        <v>1</v>
      </c>
      <c r="F156" s="16">
        <f>F155*(1+Data!H156/100)^(1/12)</f>
        <v/>
      </c>
      <c r="G156" s="12">
        <f>Calculator!$B$4*Calculator!$B$5/100*B156</f>
        <v/>
      </c>
      <c r="H156" s="12">
        <f>Calculator!$B$4*Calculator!$B$6/100*C156</f>
        <v/>
      </c>
      <c r="I156" s="12">
        <f>Calculator!$B$4*Calculator!$B$7/100*D156</f>
        <v/>
      </c>
      <c r="J156" s="12">
        <f>Calculator!$B$4*Calculator!$B$8/100*E156</f>
        <v/>
      </c>
      <c r="K156" s="12">
        <f>SUM(G156:J156)</f>
        <v/>
      </c>
      <c r="L156" s="12">
        <f>K156/F156</f>
        <v/>
      </c>
      <c r="M156" s="12">
        <f>MAX(M155,K156)</f>
        <v/>
      </c>
      <c r="N156" s="13">
        <f>K156/M156-1</f>
        <v/>
      </c>
      <c r="O156" s="12">
        <f>Calculator!$B$4*B156</f>
        <v/>
      </c>
      <c r="P156" s="12">
        <f>Calculator!$B$4*C156</f>
        <v/>
      </c>
      <c r="Q156" s="12">
        <f>Calculator!$B$4*D156</f>
        <v/>
      </c>
      <c r="R156" s="12">
        <f>Calculator!$B$4*F156</f>
        <v/>
      </c>
    </row>
    <row r="157">
      <c r="A157" s="6">
        <f>Data!A157</f>
        <v/>
      </c>
      <c r="B157" s="16">
        <f>Data!C157/Data!$C$5</f>
        <v/>
      </c>
      <c r="C157" s="16">
        <f>Data!G157/Data!$G$5</f>
        <v/>
      </c>
      <c r="D157" s="16">
        <f>D156*(1+Data!I157/100)</f>
        <v/>
      </c>
      <c r="E157" s="16" t="n">
        <v>1</v>
      </c>
      <c r="F157" s="16">
        <f>F156*(1+Data!H157/100)^(1/12)</f>
        <v/>
      </c>
      <c r="G157" s="12">
        <f>Calculator!$B$4*Calculator!$B$5/100*B157</f>
        <v/>
      </c>
      <c r="H157" s="12">
        <f>Calculator!$B$4*Calculator!$B$6/100*C157</f>
        <v/>
      </c>
      <c r="I157" s="12">
        <f>Calculator!$B$4*Calculator!$B$7/100*D157</f>
        <v/>
      </c>
      <c r="J157" s="12">
        <f>Calculator!$B$4*Calculator!$B$8/100*E157</f>
        <v/>
      </c>
      <c r="K157" s="12">
        <f>SUM(G157:J157)</f>
        <v/>
      </c>
      <c r="L157" s="12">
        <f>K157/F157</f>
        <v/>
      </c>
      <c r="M157" s="12">
        <f>MAX(M156,K157)</f>
        <v/>
      </c>
      <c r="N157" s="13">
        <f>K157/M157-1</f>
        <v/>
      </c>
      <c r="O157" s="12">
        <f>Calculator!$B$4*B157</f>
        <v/>
      </c>
      <c r="P157" s="12">
        <f>Calculator!$B$4*C157</f>
        <v/>
      </c>
      <c r="Q157" s="12">
        <f>Calculator!$B$4*D157</f>
        <v/>
      </c>
      <c r="R157" s="12">
        <f>Calculator!$B$4*F157</f>
        <v/>
      </c>
    </row>
    <row r="158">
      <c r="A158" s="6">
        <f>Data!A158</f>
        <v/>
      </c>
      <c r="B158" s="16">
        <f>Data!C158/Data!$C$5</f>
        <v/>
      </c>
      <c r="C158" s="16">
        <f>Data!G158/Data!$G$5</f>
        <v/>
      </c>
      <c r="D158" s="16">
        <f>D157*(1+Data!I158/100)</f>
        <v/>
      </c>
      <c r="E158" s="16" t="n">
        <v>1</v>
      </c>
      <c r="F158" s="16">
        <f>F157*(1+Data!H158/100)^(1/12)</f>
        <v/>
      </c>
      <c r="G158" s="12">
        <f>Calculator!$B$4*Calculator!$B$5/100*B158</f>
        <v/>
      </c>
      <c r="H158" s="12">
        <f>Calculator!$B$4*Calculator!$B$6/100*C158</f>
        <v/>
      </c>
      <c r="I158" s="12">
        <f>Calculator!$B$4*Calculator!$B$7/100*D158</f>
        <v/>
      </c>
      <c r="J158" s="12">
        <f>Calculator!$B$4*Calculator!$B$8/100*E158</f>
        <v/>
      </c>
      <c r="K158" s="12">
        <f>SUM(G158:J158)</f>
        <v/>
      </c>
      <c r="L158" s="12">
        <f>K158/F158</f>
        <v/>
      </c>
      <c r="M158" s="12">
        <f>MAX(M157,K158)</f>
        <v/>
      </c>
      <c r="N158" s="13">
        <f>K158/M158-1</f>
        <v/>
      </c>
      <c r="O158" s="12">
        <f>Calculator!$B$4*B158</f>
        <v/>
      </c>
      <c r="P158" s="12">
        <f>Calculator!$B$4*C158</f>
        <v/>
      </c>
      <c r="Q158" s="12">
        <f>Calculator!$B$4*D158</f>
        <v/>
      </c>
      <c r="R158" s="12">
        <f>Calculator!$B$4*F158</f>
        <v/>
      </c>
    </row>
    <row r="159">
      <c r="A159" s="6">
        <f>Data!A159</f>
        <v/>
      </c>
      <c r="B159" s="16">
        <f>Data!C159/Data!$C$5</f>
        <v/>
      </c>
      <c r="C159" s="16">
        <f>Data!G159/Data!$G$5</f>
        <v/>
      </c>
      <c r="D159" s="16">
        <f>D158*(1+Data!I159/100)</f>
        <v/>
      </c>
      <c r="E159" s="16" t="n">
        <v>1</v>
      </c>
      <c r="F159" s="16">
        <f>F158*(1+Data!H159/100)^(1/12)</f>
        <v/>
      </c>
      <c r="G159" s="12">
        <f>Calculator!$B$4*Calculator!$B$5/100*B159</f>
        <v/>
      </c>
      <c r="H159" s="12">
        <f>Calculator!$B$4*Calculator!$B$6/100*C159</f>
        <v/>
      </c>
      <c r="I159" s="12">
        <f>Calculator!$B$4*Calculator!$B$7/100*D159</f>
        <v/>
      </c>
      <c r="J159" s="12">
        <f>Calculator!$B$4*Calculator!$B$8/100*E159</f>
        <v/>
      </c>
      <c r="K159" s="12">
        <f>SUM(G159:J159)</f>
        <v/>
      </c>
      <c r="L159" s="12">
        <f>K159/F159</f>
        <v/>
      </c>
      <c r="M159" s="12">
        <f>MAX(M158,K159)</f>
        <v/>
      </c>
      <c r="N159" s="13">
        <f>K159/M159-1</f>
        <v/>
      </c>
      <c r="O159" s="12">
        <f>Calculator!$B$4*B159</f>
        <v/>
      </c>
      <c r="P159" s="12">
        <f>Calculator!$B$4*C159</f>
        <v/>
      </c>
      <c r="Q159" s="12">
        <f>Calculator!$B$4*D159</f>
        <v/>
      </c>
      <c r="R159" s="12">
        <f>Calculator!$B$4*F159</f>
        <v/>
      </c>
    </row>
    <row r="160">
      <c r="A160" s="6">
        <f>Data!A160</f>
        <v/>
      </c>
      <c r="B160" s="16">
        <f>Data!C160/Data!$C$5</f>
        <v/>
      </c>
      <c r="C160" s="16">
        <f>Data!G160/Data!$G$5</f>
        <v/>
      </c>
      <c r="D160" s="16">
        <f>D159*(1+Data!I160/100)</f>
        <v/>
      </c>
      <c r="E160" s="16" t="n">
        <v>1</v>
      </c>
      <c r="F160" s="16">
        <f>F159*(1+Data!H160/100)^(1/12)</f>
        <v/>
      </c>
      <c r="G160" s="12">
        <f>Calculator!$B$4*Calculator!$B$5/100*B160</f>
        <v/>
      </c>
      <c r="H160" s="12">
        <f>Calculator!$B$4*Calculator!$B$6/100*C160</f>
        <v/>
      </c>
      <c r="I160" s="12">
        <f>Calculator!$B$4*Calculator!$B$7/100*D160</f>
        <v/>
      </c>
      <c r="J160" s="12">
        <f>Calculator!$B$4*Calculator!$B$8/100*E160</f>
        <v/>
      </c>
      <c r="K160" s="12">
        <f>SUM(G160:J160)</f>
        <v/>
      </c>
      <c r="L160" s="12">
        <f>K160/F160</f>
        <v/>
      </c>
      <c r="M160" s="12">
        <f>MAX(M159,K160)</f>
        <v/>
      </c>
      <c r="N160" s="13">
        <f>K160/M160-1</f>
        <v/>
      </c>
      <c r="O160" s="12">
        <f>Calculator!$B$4*B160</f>
        <v/>
      </c>
      <c r="P160" s="12">
        <f>Calculator!$B$4*C160</f>
        <v/>
      </c>
      <c r="Q160" s="12">
        <f>Calculator!$B$4*D160</f>
        <v/>
      </c>
      <c r="R160" s="12">
        <f>Calculator!$B$4*F160</f>
        <v/>
      </c>
    </row>
    <row r="161">
      <c r="A161" s="6">
        <f>Data!A161</f>
        <v/>
      </c>
      <c r="B161" s="16">
        <f>Data!C161/Data!$C$5</f>
        <v/>
      </c>
      <c r="C161" s="16">
        <f>Data!G161/Data!$G$5</f>
        <v/>
      </c>
      <c r="D161" s="16">
        <f>D160*(1+Data!I161/100)</f>
        <v/>
      </c>
      <c r="E161" s="16" t="n">
        <v>1</v>
      </c>
      <c r="F161" s="16">
        <f>F160*(1+Data!H161/100)^(1/12)</f>
        <v/>
      </c>
      <c r="G161" s="12">
        <f>Calculator!$B$4*Calculator!$B$5/100*B161</f>
        <v/>
      </c>
      <c r="H161" s="12">
        <f>Calculator!$B$4*Calculator!$B$6/100*C161</f>
        <v/>
      </c>
      <c r="I161" s="12">
        <f>Calculator!$B$4*Calculator!$B$7/100*D161</f>
        <v/>
      </c>
      <c r="J161" s="12">
        <f>Calculator!$B$4*Calculator!$B$8/100*E161</f>
        <v/>
      </c>
      <c r="K161" s="12">
        <f>SUM(G161:J161)</f>
        <v/>
      </c>
      <c r="L161" s="12">
        <f>K161/F161</f>
        <v/>
      </c>
      <c r="M161" s="12">
        <f>MAX(M160,K161)</f>
        <v/>
      </c>
      <c r="N161" s="13">
        <f>K161/M161-1</f>
        <v/>
      </c>
      <c r="O161" s="12">
        <f>Calculator!$B$4*B161</f>
        <v/>
      </c>
      <c r="P161" s="12">
        <f>Calculator!$B$4*C161</f>
        <v/>
      </c>
      <c r="Q161" s="12">
        <f>Calculator!$B$4*D161</f>
        <v/>
      </c>
      <c r="R161" s="12">
        <f>Calculator!$B$4*F161</f>
        <v/>
      </c>
    </row>
    <row r="162">
      <c r="A162" s="6">
        <f>Data!A162</f>
        <v/>
      </c>
      <c r="B162" s="16">
        <f>Data!C162/Data!$C$5</f>
        <v/>
      </c>
      <c r="C162" s="16">
        <f>Data!G162/Data!$G$5</f>
        <v/>
      </c>
      <c r="D162" s="16">
        <f>D161*(1+Data!I162/100)</f>
        <v/>
      </c>
      <c r="E162" s="16" t="n">
        <v>1</v>
      </c>
      <c r="F162" s="16">
        <f>F161*(1+Data!H162/100)^(1/12)</f>
        <v/>
      </c>
      <c r="G162" s="12">
        <f>Calculator!$B$4*Calculator!$B$5/100*B162</f>
        <v/>
      </c>
      <c r="H162" s="12">
        <f>Calculator!$B$4*Calculator!$B$6/100*C162</f>
        <v/>
      </c>
      <c r="I162" s="12">
        <f>Calculator!$B$4*Calculator!$B$7/100*D162</f>
        <v/>
      </c>
      <c r="J162" s="12">
        <f>Calculator!$B$4*Calculator!$B$8/100*E162</f>
        <v/>
      </c>
      <c r="K162" s="12">
        <f>SUM(G162:J162)</f>
        <v/>
      </c>
      <c r="L162" s="12">
        <f>K162/F162</f>
        <v/>
      </c>
      <c r="M162" s="12">
        <f>MAX(M161,K162)</f>
        <v/>
      </c>
      <c r="N162" s="13">
        <f>K162/M162-1</f>
        <v/>
      </c>
      <c r="O162" s="12">
        <f>Calculator!$B$4*B162</f>
        <v/>
      </c>
      <c r="P162" s="12">
        <f>Calculator!$B$4*C162</f>
        <v/>
      </c>
      <c r="Q162" s="12">
        <f>Calculator!$B$4*D162</f>
        <v/>
      </c>
      <c r="R162" s="12">
        <f>Calculator!$B$4*F162</f>
        <v/>
      </c>
    </row>
    <row r="163">
      <c r="A163" s="6">
        <f>Data!A163</f>
        <v/>
      </c>
      <c r="B163" s="16">
        <f>Data!C163/Data!$C$5</f>
        <v/>
      </c>
      <c r="C163" s="16">
        <f>Data!G163/Data!$G$5</f>
        <v/>
      </c>
      <c r="D163" s="16">
        <f>D162*(1+Data!I163/100)</f>
        <v/>
      </c>
      <c r="E163" s="16" t="n">
        <v>1</v>
      </c>
      <c r="F163" s="16">
        <f>F162*(1+Data!H163/100)^(1/12)</f>
        <v/>
      </c>
      <c r="G163" s="12">
        <f>Calculator!$B$4*Calculator!$B$5/100*B163</f>
        <v/>
      </c>
      <c r="H163" s="12">
        <f>Calculator!$B$4*Calculator!$B$6/100*C163</f>
        <v/>
      </c>
      <c r="I163" s="12">
        <f>Calculator!$B$4*Calculator!$B$7/100*D163</f>
        <v/>
      </c>
      <c r="J163" s="12">
        <f>Calculator!$B$4*Calculator!$B$8/100*E163</f>
        <v/>
      </c>
      <c r="K163" s="12">
        <f>SUM(G163:J163)</f>
        <v/>
      </c>
      <c r="L163" s="12">
        <f>K163/F163</f>
        <v/>
      </c>
      <c r="M163" s="12">
        <f>MAX(M162,K163)</f>
        <v/>
      </c>
      <c r="N163" s="13">
        <f>K163/M163-1</f>
        <v/>
      </c>
      <c r="O163" s="12">
        <f>Calculator!$B$4*B163</f>
        <v/>
      </c>
      <c r="P163" s="12">
        <f>Calculator!$B$4*C163</f>
        <v/>
      </c>
      <c r="Q163" s="12">
        <f>Calculator!$B$4*D163</f>
        <v/>
      </c>
      <c r="R163" s="12">
        <f>Calculator!$B$4*F163</f>
        <v/>
      </c>
    </row>
    <row r="164">
      <c r="A164" s="6">
        <f>Data!A164</f>
        <v/>
      </c>
      <c r="B164" s="16">
        <f>Data!C164/Data!$C$5</f>
        <v/>
      </c>
      <c r="C164" s="16">
        <f>Data!G164/Data!$G$5</f>
        <v/>
      </c>
      <c r="D164" s="16">
        <f>D163*(1+Data!I164/100)</f>
        <v/>
      </c>
      <c r="E164" s="16" t="n">
        <v>1</v>
      </c>
      <c r="F164" s="16">
        <f>F163*(1+Data!H164/100)^(1/12)</f>
        <v/>
      </c>
      <c r="G164" s="12">
        <f>Calculator!$B$4*Calculator!$B$5/100*B164</f>
        <v/>
      </c>
      <c r="H164" s="12">
        <f>Calculator!$B$4*Calculator!$B$6/100*C164</f>
        <v/>
      </c>
      <c r="I164" s="12">
        <f>Calculator!$B$4*Calculator!$B$7/100*D164</f>
        <v/>
      </c>
      <c r="J164" s="12">
        <f>Calculator!$B$4*Calculator!$B$8/100*E164</f>
        <v/>
      </c>
      <c r="K164" s="12">
        <f>SUM(G164:J164)</f>
        <v/>
      </c>
      <c r="L164" s="12">
        <f>K164/F164</f>
        <v/>
      </c>
      <c r="M164" s="12">
        <f>MAX(M163,K164)</f>
        <v/>
      </c>
      <c r="N164" s="13">
        <f>K164/M164-1</f>
        <v/>
      </c>
      <c r="O164" s="12">
        <f>Calculator!$B$4*B164</f>
        <v/>
      </c>
      <c r="P164" s="12">
        <f>Calculator!$B$4*C164</f>
        <v/>
      </c>
      <c r="Q164" s="12">
        <f>Calculator!$B$4*D164</f>
        <v/>
      </c>
      <c r="R164" s="12">
        <f>Calculator!$B$4*F164</f>
        <v/>
      </c>
    </row>
    <row r="165">
      <c r="A165" s="6">
        <f>Data!A165</f>
        <v/>
      </c>
      <c r="B165" s="16">
        <f>Data!C165/Data!$C$5</f>
        <v/>
      </c>
      <c r="C165" s="16">
        <f>Data!G165/Data!$G$5</f>
        <v/>
      </c>
      <c r="D165" s="16">
        <f>D164*(1+Data!I165/100)</f>
        <v/>
      </c>
      <c r="E165" s="16" t="n">
        <v>1</v>
      </c>
      <c r="F165" s="16">
        <f>F164*(1+Data!H165/100)^(1/12)</f>
        <v/>
      </c>
      <c r="G165" s="12">
        <f>Calculator!$B$4*Calculator!$B$5/100*B165</f>
        <v/>
      </c>
      <c r="H165" s="12">
        <f>Calculator!$B$4*Calculator!$B$6/100*C165</f>
        <v/>
      </c>
      <c r="I165" s="12">
        <f>Calculator!$B$4*Calculator!$B$7/100*D165</f>
        <v/>
      </c>
      <c r="J165" s="12">
        <f>Calculator!$B$4*Calculator!$B$8/100*E165</f>
        <v/>
      </c>
      <c r="K165" s="12">
        <f>SUM(G165:J165)</f>
        <v/>
      </c>
      <c r="L165" s="12">
        <f>K165/F165</f>
        <v/>
      </c>
      <c r="M165" s="12">
        <f>MAX(M164,K165)</f>
        <v/>
      </c>
      <c r="N165" s="13">
        <f>K165/M165-1</f>
        <v/>
      </c>
      <c r="O165" s="12">
        <f>Calculator!$B$4*B165</f>
        <v/>
      </c>
      <c r="P165" s="12">
        <f>Calculator!$B$4*C165</f>
        <v/>
      </c>
      <c r="Q165" s="12">
        <f>Calculator!$B$4*D165</f>
        <v/>
      </c>
      <c r="R165" s="12">
        <f>Calculator!$B$4*F165</f>
        <v/>
      </c>
    </row>
    <row r="166">
      <c r="A166" s="6">
        <f>Data!A166</f>
        <v/>
      </c>
      <c r="B166" s="16">
        <f>Data!C166/Data!$C$5</f>
        <v/>
      </c>
      <c r="C166" s="16">
        <f>Data!G166/Data!$G$5</f>
        <v/>
      </c>
      <c r="D166" s="16">
        <f>D165*(1+Data!I166/100)</f>
        <v/>
      </c>
      <c r="E166" s="16" t="n">
        <v>1</v>
      </c>
      <c r="F166" s="16">
        <f>F165*(1+Data!H166/100)^(1/12)</f>
        <v/>
      </c>
      <c r="G166" s="12">
        <f>Calculator!$B$4*Calculator!$B$5/100*B166</f>
        <v/>
      </c>
      <c r="H166" s="12">
        <f>Calculator!$B$4*Calculator!$B$6/100*C166</f>
        <v/>
      </c>
      <c r="I166" s="12">
        <f>Calculator!$B$4*Calculator!$B$7/100*D166</f>
        <v/>
      </c>
      <c r="J166" s="12">
        <f>Calculator!$B$4*Calculator!$B$8/100*E166</f>
        <v/>
      </c>
      <c r="K166" s="12">
        <f>SUM(G166:J166)</f>
        <v/>
      </c>
      <c r="L166" s="12">
        <f>K166/F166</f>
        <v/>
      </c>
      <c r="M166" s="12">
        <f>MAX(M165,K166)</f>
        <v/>
      </c>
      <c r="N166" s="13">
        <f>K166/M166-1</f>
        <v/>
      </c>
      <c r="O166" s="12">
        <f>Calculator!$B$4*B166</f>
        <v/>
      </c>
      <c r="P166" s="12">
        <f>Calculator!$B$4*C166</f>
        <v/>
      </c>
      <c r="Q166" s="12">
        <f>Calculator!$B$4*D166</f>
        <v/>
      </c>
      <c r="R166" s="12">
        <f>Calculator!$B$4*F166</f>
        <v/>
      </c>
    </row>
    <row r="167">
      <c r="A167" s="6">
        <f>Data!A167</f>
        <v/>
      </c>
      <c r="B167" s="16">
        <f>Data!C167/Data!$C$5</f>
        <v/>
      </c>
      <c r="C167" s="16">
        <f>Data!G167/Data!$G$5</f>
        <v/>
      </c>
      <c r="D167" s="16">
        <f>D166*(1+Data!I167/100)</f>
        <v/>
      </c>
      <c r="E167" s="16" t="n">
        <v>1</v>
      </c>
      <c r="F167" s="16">
        <f>F166*(1+Data!H167/100)^(1/12)</f>
        <v/>
      </c>
      <c r="G167" s="12">
        <f>Calculator!$B$4*Calculator!$B$5/100*B167</f>
        <v/>
      </c>
      <c r="H167" s="12">
        <f>Calculator!$B$4*Calculator!$B$6/100*C167</f>
        <v/>
      </c>
      <c r="I167" s="12">
        <f>Calculator!$B$4*Calculator!$B$7/100*D167</f>
        <v/>
      </c>
      <c r="J167" s="12">
        <f>Calculator!$B$4*Calculator!$B$8/100*E167</f>
        <v/>
      </c>
      <c r="K167" s="12">
        <f>SUM(G167:J167)</f>
        <v/>
      </c>
      <c r="L167" s="12">
        <f>K167/F167</f>
        <v/>
      </c>
      <c r="M167" s="12">
        <f>MAX(M166,K167)</f>
        <v/>
      </c>
      <c r="N167" s="13">
        <f>K167/M167-1</f>
        <v/>
      </c>
      <c r="O167" s="12">
        <f>Calculator!$B$4*B167</f>
        <v/>
      </c>
      <c r="P167" s="12">
        <f>Calculator!$B$4*C167</f>
        <v/>
      </c>
      <c r="Q167" s="12">
        <f>Calculator!$B$4*D167</f>
        <v/>
      </c>
      <c r="R167" s="12">
        <f>Calculator!$B$4*F167</f>
        <v/>
      </c>
    </row>
    <row r="168">
      <c r="A168" s="6">
        <f>Data!A168</f>
        <v/>
      </c>
      <c r="B168" s="16">
        <f>Data!C168/Data!$C$5</f>
        <v/>
      </c>
      <c r="C168" s="16">
        <f>Data!G168/Data!$G$5</f>
        <v/>
      </c>
      <c r="D168" s="16">
        <f>D167*(1+Data!I168/100)</f>
        <v/>
      </c>
      <c r="E168" s="16" t="n">
        <v>1</v>
      </c>
      <c r="F168" s="16">
        <f>F167*(1+Data!H168/100)^(1/12)</f>
        <v/>
      </c>
      <c r="G168" s="12">
        <f>Calculator!$B$4*Calculator!$B$5/100*B168</f>
        <v/>
      </c>
      <c r="H168" s="12">
        <f>Calculator!$B$4*Calculator!$B$6/100*C168</f>
        <v/>
      </c>
      <c r="I168" s="12">
        <f>Calculator!$B$4*Calculator!$B$7/100*D168</f>
        <v/>
      </c>
      <c r="J168" s="12">
        <f>Calculator!$B$4*Calculator!$B$8/100*E168</f>
        <v/>
      </c>
      <c r="K168" s="12">
        <f>SUM(G168:J168)</f>
        <v/>
      </c>
      <c r="L168" s="12">
        <f>K168/F168</f>
        <v/>
      </c>
      <c r="M168" s="12">
        <f>MAX(M167,K168)</f>
        <v/>
      </c>
      <c r="N168" s="13">
        <f>K168/M168-1</f>
        <v/>
      </c>
      <c r="O168" s="12">
        <f>Calculator!$B$4*B168</f>
        <v/>
      </c>
      <c r="P168" s="12">
        <f>Calculator!$B$4*C168</f>
        <v/>
      </c>
      <c r="Q168" s="12">
        <f>Calculator!$B$4*D168</f>
        <v/>
      </c>
      <c r="R168" s="12">
        <f>Calculator!$B$4*F168</f>
        <v/>
      </c>
    </row>
    <row r="169">
      <c r="A169" s="6">
        <f>Data!A169</f>
        <v/>
      </c>
      <c r="B169" s="16">
        <f>Data!C169/Data!$C$5</f>
        <v/>
      </c>
      <c r="C169" s="16">
        <f>Data!G169/Data!$G$5</f>
        <v/>
      </c>
      <c r="D169" s="16">
        <f>D168*(1+Data!I169/100)</f>
        <v/>
      </c>
      <c r="E169" s="16" t="n">
        <v>1</v>
      </c>
      <c r="F169" s="16">
        <f>F168*(1+Data!H169/100)^(1/12)</f>
        <v/>
      </c>
      <c r="G169" s="12">
        <f>Calculator!$B$4*Calculator!$B$5/100*B169</f>
        <v/>
      </c>
      <c r="H169" s="12">
        <f>Calculator!$B$4*Calculator!$B$6/100*C169</f>
        <v/>
      </c>
      <c r="I169" s="12">
        <f>Calculator!$B$4*Calculator!$B$7/100*D169</f>
        <v/>
      </c>
      <c r="J169" s="12">
        <f>Calculator!$B$4*Calculator!$B$8/100*E169</f>
        <v/>
      </c>
      <c r="K169" s="12">
        <f>SUM(G169:J169)</f>
        <v/>
      </c>
      <c r="L169" s="12">
        <f>K169/F169</f>
        <v/>
      </c>
      <c r="M169" s="12">
        <f>MAX(M168,K169)</f>
        <v/>
      </c>
      <c r="N169" s="13">
        <f>K169/M169-1</f>
        <v/>
      </c>
      <c r="O169" s="12">
        <f>Calculator!$B$4*B169</f>
        <v/>
      </c>
      <c r="P169" s="12">
        <f>Calculator!$B$4*C169</f>
        <v/>
      </c>
      <c r="Q169" s="12">
        <f>Calculator!$B$4*D169</f>
        <v/>
      </c>
      <c r="R169" s="12">
        <f>Calculator!$B$4*F169</f>
        <v/>
      </c>
    </row>
    <row r="170">
      <c r="A170" s="6">
        <f>Data!A170</f>
        <v/>
      </c>
      <c r="B170" s="16">
        <f>Data!C170/Data!$C$5</f>
        <v/>
      </c>
      <c r="C170" s="16">
        <f>Data!G170/Data!$G$5</f>
        <v/>
      </c>
      <c r="D170" s="16">
        <f>D169*(1+Data!I170/100)</f>
        <v/>
      </c>
      <c r="E170" s="16" t="n">
        <v>1</v>
      </c>
      <c r="F170" s="16">
        <f>F169*(1+Data!H170/100)^(1/12)</f>
        <v/>
      </c>
      <c r="G170" s="12">
        <f>Calculator!$B$4*Calculator!$B$5/100*B170</f>
        <v/>
      </c>
      <c r="H170" s="12">
        <f>Calculator!$B$4*Calculator!$B$6/100*C170</f>
        <v/>
      </c>
      <c r="I170" s="12">
        <f>Calculator!$B$4*Calculator!$B$7/100*D170</f>
        <v/>
      </c>
      <c r="J170" s="12">
        <f>Calculator!$B$4*Calculator!$B$8/100*E170</f>
        <v/>
      </c>
      <c r="K170" s="12">
        <f>SUM(G170:J170)</f>
        <v/>
      </c>
      <c r="L170" s="12">
        <f>K170/F170</f>
        <v/>
      </c>
      <c r="M170" s="12">
        <f>MAX(M169,K170)</f>
        <v/>
      </c>
      <c r="N170" s="13">
        <f>K170/M170-1</f>
        <v/>
      </c>
      <c r="O170" s="12">
        <f>Calculator!$B$4*B170</f>
        <v/>
      </c>
      <c r="P170" s="12">
        <f>Calculator!$B$4*C170</f>
        <v/>
      </c>
      <c r="Q170" s="12">
        <f>Calculator!$B$4*D170</f>
        <v/>
      </c>
      <c r="R170" s="12">
        <f>Calculator!$B$4*F170</f>
        <v/>
      </c>
    </row>
    <row r="171">
      <c r="A171" s="6">
        <f>Data!A171</f>
        <v/>
      </c>
      <c r="B171" s="16">
        <f>Data!C171/Data!$C$5</f>
        <v/>
      </c>
      <c r="C171" s="16">
        <f>Data!G171/Data!$G$5</f>
        <v/>
      </c>
      <c r="D171" s="16">
        <f>D170*(1+Data!I171/100)</f>
        <v/>
      </c>
      <c r="E171" s="16" t="n">
        <v>1</v>
      </c>
      <c r="F171" s="16">
        <f>F170*(1+Data!H171/100)^(1/12)</f>
        <v/>
      </c>
      <c r="G171" s="12">
        <f>Calculator!$B$4*Calculator!$B$5/100*B171</f>
        <v/>
      </c>
      <c r="H171" s="12">
        <f>Calculator!$B$4*Calculator!$B$6/100*C171</f>
        <v/>
      </c>
      <c r="I171" s="12">
        <f>Calculator!$B$4*Calculator!$B$7/100*D171</f>
        <v/>
      </c>
      <c r="J171" s="12">
        <f>Calculator!$B$4*Calculator!$B$8/100*E171</f>
        <v/>
      </c>
      <c r="K171" s="12">
        <f>SUM(G171:J171)</f>
        <v/>
      </c>
      <c r="L171" s="12">
        <f>K171/F171</f>
        <v/>
      </c>
      <c r="M171" s="12">
        <f>MAX(M170,K171)</f>
        <v/>
      </c>
      <c r="N171" s="13">
        <f>K171/M171-1</f>
        <v/>
      </c>
      <c r="O171" s="12">
        <f>Calculator!$B$4*B171</f>
        <v/>
      </c>
      <c r="P171" s="12">
        <f>Calculator!$B$4*C171</f>
        <v/>
      </c>
      <c r="Q171" s="12">
        <f>Calculator!$B$4*D171</f>
        <v/>
      </c>
      <c r="R171" s="12">
        <f>Calculator!$B$4*F171</f>
        <v/>
      </c>
    </row>
    <row r="172">
      <c r="A172" s="6">
        <f>Data!A172</f>
        <v/>
      </c>
      <c r="B172" s="16">
        <f>Data!C172/Data!$C$5</f>
        <v/>
      </c>
      <c r="C172" s="16">
        <f>Data!G172/Data!$G$5</f>
        <v/>
      </c>
      <c r="D172" s="16">
        <f>D171*(1+Data!I172/100)</f>
        <v/>
      </c>
      <c r="E172" s="16" t="n">
        <v>1</v>
      </c>
      <c r="F172" s="16">
        <f>F171*(1+Data!H172/100)^(1/12)</f>
        <v/>
      </c>
      <c r="G172" s="12">
        <f>Calculator!$B$4*Calculator!$B$5/100*B172</f>
        <v/>
      </c>
      <c r="H172" s="12">
        <f>Calculator!$B$4*Calculator!$B$6/100*C172</f>
        <v/>
      </c>
      <c r="I172" s="12">
        <f>Calculator!$B$4*Calculator!$B$7/100*D172</f>
        <v/>
      </c>
      <c r="J172" s="12">
        <f>Calculator!$B$4*Calculator!$B$8/100*E172</f>
        <v/>
      </c>
      <c r="K172" s="12">
        <f>SUM(G172:J172)</f>
        <v/>
      </c>
      <c r="L172" s="12">
        <f>K172/F172</f>
        <v/>
      </c>
      <c r="M172" s="12">
        <f>MAX(M171,K172)</f>
        <v/>
      </c>
      <c r="N172" s="13">
        <f>K172/M172-1</f>
        <v/>
      </c>
      <c r="O172" s="12">
        <f>Calculator!$B$4*B172</f>
        <v/>
      </c>
      <c r="P172" s="12">
        <f>Calculator!$B$4*C172</f>
        <v/>
      </c>
      <c r="Q172" s="12">
        <f>Calculator!$B$4*D172</f>
        <v/>
      </c>
      <c r="R172" s="12">
        <f>Calculator!$B$4*F172</f>
        <v/>
      </c>
    </row>
    <row r="173">
      <c r="A173" s="6">
        <f>Data!A173</f>
        <v/>
      </c>
      <c r="B173" s="16">
        <f>Data!C173/Data!$C$5</f>
        <v/>
      </c>
      <c r="C173" s="16">
        <f>Data!G173/Data!$G$5</f>
        <v/>
      </c>
      <c r="D173" s="16">
        <f>D172*(1+Data!I173/100)</f>
        <v/>
      </c>
      <c r="E173" s="16" t="n">
        <v>1</v>
      </c>
      <c r="F173" s="16">
        <f>F172*(1+Data!H173/100)^(1/12)</f>
        <v/>
      </c>
      <c r="G173" s="12">
        <f>Calculator!$B$4*Calculator!$B$5/100*B173</f>
        <v/>
      </c>
      <c r="H173" s="12">
        <f>Calculator!$B$4*Calculator!$B$6/100*C173</f>
        <v/>
      </c>
      <c r="I173" s="12">
        <f>Calculator!$B$4*Calculator!$B$7/100*D173</f>
        <v/>
      </c>
      <c r="J173" s="12">
        <f>Calculator!$B$4*Calculator!$B$8/100*E173</f>
        <v/>
      </c>
      <c r="K173" s="12">
        <f>SUM(G173:J173)</f>
        <v/>
      </c>
      <c r="L173" s="12">
        <f>K173/F173</f>
        <v/>
      </c>
      <c r="M173" s="12">
        <f>MAX(M172,K173)</f>
        <v/>
      </c>
      <c r="N173" s="13">
        <f>K173/M173-1</f>
        <v/>
      </c>
      <c r="O173" s="12">
        <f>Calculator!$B$4*B173</f>
        <v/>
      </c>
      <c r="P173" s="12">
        <f>Calculator!$B$4*C173</f>
        <v/>
      </c>
      <c r="Q173" s="12">
        <f>Calculator!$B$4*D173</f>
        <v/>
      </c>
      <c r="R173" s="12">
        <f>Calculator!$B$4*F173</f>
        <v/>
      </c>
    </row>
    <row r="174">
      <c r="A174" s="6">
        <f>Data!A174</f>
        <v/>
      </c>
      <c r="B174" s="16">
        <f>Data!C174/Data!$C$5</f>
        <v/>
      </c>
      <c r="C174" s="16">
        <f>Data!G174/Data!$G$5</f>
        <v/>
      </c>
      <c r="D174" s="16">
        <f>D173*(1+Data!I174/100)</f>
        <v/>
      </c>
      <c r="E174" s="16" t="n">
        <v>1</v>
      </c>
      <c r="F174" s="16">
        <f>F173*(1+Data!H174/100)^(1/12)</f>
        <v/>
      </c>
      <c r="G174" s="12">
        <f>Calculator!$B$4*Calculator!$B$5/100*B174</f>
        <v/>
      </c>
      <c r="H174" s="12">
        <f>Calculator!$B$4*Calculator!$B$6/100*C174</f>
        <v/>
      </c>
      <c r="I174" s="12">
        <f>Calculator!$B$4*Calculator!$B$7/100*D174</f>
        <v/>
      </c>
      <c r="J174" s="12">
        <f>Calculator!$B$4*Calculator!$B$8/100*E174</f>
        <v/>
      </c>
      <c r="K174" s="12">
        <f>SUM(G174:J174)</f>
        <v/>
      </c>
      <c r="L174" s="12">
        <f>K174/F174</f>
        <v/>
      </c>
      <c r="M174" s="12">
        <f>MAX(M173,K174)</f>
        <v/>
      </c>
      <c r="N174" s="13">
        <f>K174/M174-1</f>
        <v/>
      </c>
      <c r="O174" s="12">
        <f>Calculator!$B$4*B174</f>
        <v/>
      </c>
      <c r="P174" s="12">
        <f>Calculator!$B$4*C174</f>
        <v/>
      </c>
      <c r="Q174" s="12">
        <f>Calculator!$B$4*D174</f>
        <v/>
      </c>
      <c r="R174" s="12">
        <f>Calculator!$B$4*F174</f>
        <v/>
      </c>
    </row>
    <row r="175">
      <c r="A175" s="6">
        <f>Data!A175</f>
        <v/>
      </c>
      <c r="B175" s="16">
        <f>Data!C175/Data!$C$5</f>
        <v/>
      </c>
      <c r="C175" s="16">
        <f>Data!G175/Data!$G$5</f>
        <v/>
      </c>
      <c r="D175" s="16">
        <f>D174*(1+Data!I175/100)</f>
        <v/>
      </c>
      <c r="E175" s="16" t="n">
        <v>1</v>
      </c>
      <c r="F175" s="16">
        <f>F174*(1+Data!H175/100)^(1/12)</f>
        <v/>
      </c>
      <c r="G175" s="12">
        <f>Calculator!$B$4*Calculator!$B$5/100*B175</f>
        <v/>
      </c>
      <c r="H175" s="12">
        <f>Calculator!$B$4*Calculator!$B$6/100*C175</f>
        <v/>
      </c>
      <c r="I175" s="12">
        <f>Calculator!$B$4*Calculator!$B$7/100*D175</f>
        <v/>
      </c>
      <c r="J175" s="12">
        <f>Calculator!$B$4*Calculator!$B$8/100*E175</f>
        <v/>
      </c>
      <c r="K175" s="12">
        <f>SUM(G175:J175)</f>
        <v/>
      </c>
      <c r="L175" s="12">
        <f>K175/F175</f>
        <v/>
      </c>
      <c r="M175" s="12">
        <f>MAX(M174,K175)</f>
        <v/>
      </c>
      <c r="N175" s="13">
        <f>K175/M175-1</f>
        <v/>
      </c>
      <c r="O175" s="12">
        <f>Calculator!$B$4*B175</f>
        <v/>
      </c>
      <c r="P175" s="12">
        <f>Calculator!$B$4*C175</f>
        <v/>
      </c>
      <c r="Q175" s="12">
        <f>Calculator!$B$4*D175</f>
        <v/>
      </c>
      <c r="R175" s="12">
        <f>Calculator!$B$4*F175</f>
        <v/>
      </c>
    </row>
    <row r="176">
      <c r="A176" s="6">
        <f>Data!A176</f>
        <v/>
      </c>
      <c r="B176" s="16">
        <f>Data!C176/Data!$C$5</f>
        <v/>
      </c>
      <c r="C176" s="16">
        <f>Data!G176/Data!$G$5</f>
        <v/>
      </c>
      <c r="D176" s="16">
        <f>D175*(1+Data!I176/100)</f>
        <v/>
      </c>
      <c r="E176" s="16" t="n">
        <v>1</v>
      </c>
      <c r="F176" s="16">
        <f>F175*(1+Data!H176/100)^(1/12)</f>
        <v/>
      </c>
      <c r="G176" s="12">
        <f>Calculator!$B$4*Calculator!$B$5/100*B176</f>
        <v/>
      </c>
      <c r="H176" s="12">
        <f>Calculator!$B$4*Calculator!$B$6/100*C176</f>
        <v/>
      </c>
      <c r="I176" s="12">
        <f>Calculator!$B$4*Calculator!$B$7/100*D176</f>
        <v/>
      </c>
      <c r="J176" s="12">
        <f>Calculator!$B$4*Calculator!$B$8/100*E176</f>
        <v/>
      </c>
      <c r="K176" s="12">
        <f>SUM(G176:J176)</f>
        <v/>
      </c>
      <c r="L176" s="12">
        <f>K176/F176</f>
        <v/>
      </c>
      <c r="M176" s="12">
        <f>MAX(M175,K176)</f>
        <v/>
      </c>
      <c r="N176" s="13">
        <f>K176/M176-1</f>
        <v/>
      </c>
      <c r="O176" s="12">
        <f>Calculator!$B$4*B176</f>
        <v/>
      </c>
      <c r="P176" s="12">
        <f>Calculator!$B$4*C176</f>
        <v/>
      </c>
      <c r="Q176" s="12">
        <f>Calculator!$B$4*D176</f>
        <v/>
      </c>
      <c r="R176" s="12">
        <f>Calculator!$B$4*F176</f>
        <v/>
      </c>
    </row>
    <row r="177">
      <c r="A177" s="6">
        <f>Data!A177</f>
        <v/>
      </c>
      <c r="B177" s="16">
        <f>Data!C177/Data!$C$5</f>
        <v/>
      </c>
      <c r="C177" s="16">
        <f>Data!G177/Data!$G$5</f>
        <v/>
      </c>
      <c r="D177" s="16">
        <f>D176*(1+Data!I177/100)</f>
        <v/>
      </c>
      <c r="E177" s="16" t="n">
        <v>1</v>
      </c>
      <c r="F177" s="16">
        <f>F176*(1+Data!H177/100)^(1/12)</f>
        <v/>
      </c>
      <c r="G177" s="12">
        <f>Calculator!$B$4*Calculator!$B$5/100*B177</f>
        <v/>
      </c>
      <c r="H177" s="12">
        <f>Calculator!$B$4*Calculator!$B$6/100*C177</f>
        <v/>
      </c>
      <c r="I177" s="12">
        <f>Calculator!$B$4*Calculator!$B$7/100*D177</f>
        <v/>
      </c>
      <c r="J177" s="12">
        <f>Calculator!$B$4*Calculator!$B$8/100*E177</f>
        <v/>
      </c>
      <c r="K177" s="12">
        <f>SUM(G177:J177)</f>
        <v/>
      </c>
      <c r="L177" s="12">
        <f>K177/F177</f>
        <v/>
      </c>
      <c r="M177" s="12">
        <f>MAX(M176,K177)</f>
        <v/>
      </c>
      <c r="N177" s="13">
        <f>K177/M177-1</f>
        <v/>
      </c>
      <c r="O177" s="12">
        <f>Calculator!$B$4*B177</f>
        <v/>
      </c>
      <c r="P177" s="12">
        <f>Calculator!$B$4*C177</f>
        <v/>
      </c>
      <c r="Q177" s="12">
        <f>Calculator!$B$4*D177</f>
        <v/>
      </c>
      <c r="R177" s="12">
        <f>Calculator!$B$4*F177</f>
        <v/>
      </c>
    </row>
    <row r="178">
      <c r="A178" s="6">
        <f>Data!A178</f>
        <v/>
      </c>
      <c r="B178" s="16">
        <f>Data!C178/Data!$C$5</f>
        <v/>
      </c>
      <c r="C178" s="16">
        <f>Data!G178/Data!$G$5</f>
        <v/>
      </c>
      <c r="D178" s="16">
        <f>D177*(1+Data!I178/100)</f>
        <v/>
      </c>
      <c r="E178" s="16" t="n">
        <v>1</v>
      </c>
      <c r="F178" s="16">
        <f>F177*(1+Data!H178/100)^(1/12)</f>
        <v/>
      </c>
      <c r="G178" s="12">
        <f>Calculator!$B$4*Calculator!$B$5/100*B178</f>
        <v/>
      </c>
      <c r="H178" s="12">
        <f>Calculator!$B$4*Calculator!$B$6/100*C178</f>
        <v/>
      </c>
      <c r="I178" s="12">
        <f>Calculator!$B$4*Calculator!$B$7/100*D178</f>
        <v/>
      </c>
      <c r="J178" s="12">
        <f>Calculator!$B$4*Calculator!$B$8/100*E178</f>
        <v/>
      </c>
      <c r="K178" s="12">
        <f>SUM(G178:J178)</f>
        <v/>
      </c>
      <c r="L178" s="12">
        <f>K178/F178</f>
        <v/>
      </c>
      <c r="M178" s="12">
        <f>MAX(M177,K178)</f>
        <v/>
      </c>
      <c r="N178" s="13">
        <f>K178/M178-1</f>
        <v/>
      </c>
      <c r="O178" s="12">
        <f>Calculator!$B$4*B178</f>
        <v/>
      </c>
      <c r="P178" s="12">
        <f>Calculator!$B$4*C178</f>
        <v/>
      </c>
      <c r="Q178" s="12">
        <f>Calculator!$B$4*D178</f>
        <v/>
      </c>
      <c r="R178" s="12">
        <f>Calculator!$B$4*F178</f>
        <v/>
      </c>
    </row>
    <row r="179">
      <c r="A179" s="6">
        <f>Data!A179</f>
        <v/>
      </c>
      <c r="B179" s="16">
        <f>Data!C179/Data!$C$5</f>
        <v/>
      </c>
      <c r="C179" s="16">
        <f>Data!G179/Data!$G$5</f>
        <v/>
      </c>
      <c r="D179" s="16">
        <f>D178*(1+Data!I179/100)</f>
        <v/>
      </c>
      <c r="E179" s="16" t="n">
        <v>1</v>
      </c>
      <c r="F179" s="16">
        <f>F178*(1+Data!H179/100)^(1/12)</f>
        <v/>
      </c>
      <c r="G179" s="12">
        <f>Calculator!$B$4*Calculator!$B$5/100*B179</f>
        <v/>
      </c>
      <c r="H179" s="12">
        <f>Calculator!$B$4*Calculator!$B$6/100*C179</f>
        <v/>
      </c>
      <c r="I179" s="12">
        <f>Calculator!$B$4*Calculator!$B$7/100*D179</f>
        <v/>
      </c>
      <c r="J179" s="12">
        <f>Calculator!$B$4*Calculator!$B$8/100*E179</f>
        <v/>
      </c>
      <c r="K179" s="12">
        <f>SUM(G179:J179)</f>
        <v/>
      </c>
      <c r="L179" s="12">
        <f>K179/F179</f>
        <v/>
      </c>
      <c r="M179" s="12">
        <f>MAX(M178,K179)</f>
        <v/>
      </c>
      <c r="N179" s="13">
        <f>K179/M179-1</f>
        <v/>
      </c>
      <c r="O179" s="12">
        <f>Calculator!$B$4*B179</f>
        <v/>
      </c>
      <c r="P179" s="12">
        <f>Calculator!$B$4*C179</f>
        <v/>
      </c>
      <c r="Q179" s="12">
        <f>Calculator!$B$4*D179</f>
        <v/>
      </c>
      <c r="R179" s="12">
        <f>Calculator!$B$4*F179</f>
        <v/>
      </c>
    </row>
    <row r="180">
      <c r="A180" s="6">
        <f>Data!A180</f>
        <v/>
      </c>
      <c r="B180" s="16">
        <f>Data!C180/Data!$C$5</f>
        <v/>
      </c>
      <c r="C180" s="16">
        <f>Data!G180/Data!$G$5</f>
        <v/>
      </c>
      <c r="D180" s="16">
        <f>D179*(1+Data!I180/100)</f>
        <v/>
      </c>
      <c r="E180" s="16" t="n">
        <v>1</v>
      </c>
      <c r="F180" s="16">
        <f>F179*(1+Data!H180/100)^(1/12)</f>
        <v/>
      </c>
      <c r="G180" s="12">
        <f>Calculator!$B$4*Calculator!$B$5/100*B180</f>
        <v/>
      </c>
      <c r="H180" s="12">
        <f>Calculator!$B$4*Calculator!$B$6/100*C180</f>
        <v/>
      </c>
      <c r="I180" s="12">
        <f>Calculator!$B$4*Calculator!$B$7/100*D180</f>
        <v/>
      </c>
      <c r="J180" s="12">
        <f>Calculator!$B$4*Calculator!$B$8/100*E180</f>
        <v/>
      </c>
      <c r="K180" s="12">
        <f>SUM(G180:J180)</f>
        <v/>
      </c>
      <c r="L180" s="12">
        <f>K180/F180</f>
        <v/>
      </c>
      <c r="M180" s="12">
        <f>MAX(M179,K180)</f>
        <v/>
      </c>
      <c r="N180" s="13">
        <f>K180/M180-1</f>
        <v/>
      </c>
      <c r="O180" s="12">
        <f>Calculator!$B$4*B180</f>
        <v/>
      </c>
      <c r="P180" s="12">
        <f>Calculator!$B$4*C180</f>
        <v/>
      </c>
      <c r="Q180" s="12">
        <f>Calculator!$B$4*D180</f>
        <v/>
      </c>
      <c r="R180" s="12">
        <f>Calculator!$B$4*F180</f>
        <v/>
      </c>
    </row>
    <row r="181">
      <c r="A181" s="6">
        <f>Data!A181</f>
        <v/>
      </c>
      <c r="B181" s="16">
        <f>Data!C181/Data!$C$5</f>
        <v/>
      </c>
      <c r="C181" s="16">
        <f>Data!G181/Data!$G$5</f>
        <v/>
      </c>
      <c r="D181" s="16">
        <f>D180*(1+Data!I181/100)</f>
        <v/>
      </c>
      <c r="E181" s="16" t="n">
        <v>1</v>
      </c>
      <c r="F181" s="16">
        <f>F180*(1+Data!H181/100)^(1/12)</f>
        <v/>
      </c>
      <c r="G181" s="12">
        <f>Calculator!$B$4*Calculator!$B$5/100*B181</f>
        <v/>
      </c>
      <c r="H181" s="12">
        <f>Calculator!$B$4*Calculator!$B$6/100*C181</f>
        <v/>
      </c>
      <c r="I181" s="12">
        <f>Calculator!$B$4*Calculator!$B$7/100*D181</f>
        <v/>
      </c>
      <c r="J181" s="12">
        <f>Calculator!$B$4*Calculator!$B$8/100*E181</f>
        <v/>
      </c>
      <c r="K181" s="12">
        <f>SUM(G181:J181)</f>
        <v/>
      </c>
      <c r="L181" s="12">
        <f>K181/F181</f>
        <v/>
      </c>
      <c r="M181" s="12">
        <f>MAX(M180,K181)</f>
        <v/>
      </c>
      <c r="N181" s="13">
        <f>K181/M181-1</f>
        <v/>
      </c>
      <c r="O181" s="12">
        <f>Calculator!$B$4*B181</f>
        <v/>
      </c>
      <c r="P181" s="12">
        <f>Calculator!$B$4*C181</f>
        <v/>
      </c>
      <c r="Q181" s="12">
        <f>Calculator!$B$4*D181</f>
        <v/>
      </c>
      <c r="R181" s="12">
        <f>Calculator!$B$4*F181</f>
        <v/>
      </c>
    </row>
    <row r="182">
      <c r="A182" s="6">
        <f>Data!A182</f>
        <v/>
      </c>
      <c r="B182" s="16">
        <f>Data!C182/Data!$C$5</f>
        <v/>
      </c>
      <c r="C182" s="16">
        <f>Data!G182/Data!$G$5</f>
        <v/>
      </c>
      <c r="D182" s="16">
        <f>D181*(1+Data!I182/100)</f>
        <v/>
      </c>
      <c r="E182" s="16" t="n">
        <v>1</v>
      </c>
      <c r="F182" s="16">
        <f>F181*(1+Data!H182/100)^(1/12)</f>
        <v/>
      </c>
      <c r="G182" s="12">
        <f>Calculator!$B$4*Calculator!$B$5/100*B182</f>
        <v/>
      </c>
      <c r="H182" s="12">
        <f>Calculator!$B$4*Calculator!$B$6/100*C182</f>
        <v/>
      </c>
      <c r="I182" s="12">
        <f>Calculator!$B$4*Calculator!$B$7/100*D182</f>
        <v/>
      </c>
      <c r="J182" s="12">
        <f>Calculator!$B$4*Calculator!$B$8/100*E182</f>
        <v/>
      </c>
      <c r="K182" s="12">
        <f>SUM(G182:J182)</f>
        <v/>
      </c>
      <c r="L182" s="12">
        <f>K182/F182</f>
        <v/>
      </c>
      <c r="M182" s="12">
        <f>MAX(M181,K182)</f>
        <v/>
      </c>
      <c r="N182" s="13">
        <f>K182/M182-1</f>
        <v/>
      </c>
      <c r="O182" s="12">
        <f>Calculator!$B$4*B182</f>
        <v/>
      </c>
      <c r="P182" s="12">
        <f>Calculator!$B$4*C182</f>
        <v/>
      </c>
      <c r="Q182" s="12">
        <f>Calculator!$B$4*D182</f>
        <v/>
      </c>
      <c r="R182" s="12">
        <f>Calculator!$B$4*F182</f>
        <v/>
      </c>
    </row>
    <row r="183">
      <c r="A183" s="6">
        <f>Data!A183</f>
        <v/>
      </c>
      <c r="B183" s="16">
        <f>Data!C183/Data!$C$5</f>
        <v/>
      </c>
      <c r="C183" s="16">
        <f>Data!G183/Data!$G$5</f>
        <v/>
      </c>
      <c r="D183" s="16">
        <f>D182*(1+Data!I183/100)</f>
        <v/>
      </c>
      <c r="E183" s="16" t="n">
        <v>1</v>
      </c>
      <c r="F183" s="16">
        <f>F182*(1+Data!H183/100)^(1/12)</f>
        <v/>
      </c>
      <c r="G183" s="12">
        <f>Calculator!$B$4*Calculator!$B$5/100*B183</f>
        <v/>
      </c>
      <c r="H183" s="12">
        <f>Calculator!$B$4*Calculator!$B$6/100*C183</f>
        <v/>
      </c>
      <c r="I183" s="12">
        <f>Calculator!$B$4*Calculator!$B$7/100*D183</f>
        <v/>
      </c>
      <c r="J183" s="12">
        <f>Calculator!$B$4*Calculator!$B$8/100*E183</f>
        <v/>
      </c>
      <c r="K183" s="12">
        <f>SUM(G183:J183)</f>
        <v/>
      </c>
      <c r="L183" s="12">
        <f>K183/F183</f>
        <v/>
      </c>
      <c r="M183" s="12">
        <f>MAX(M182,K183)</f>
        <v/>
      </c>
      <c r="N183" s="13">
        <f>K183/M183-1</f>
        <v/>
      </c>
      <c r="O183" s="12">
        <f>Calculator!$B$4*B183</f>
        <v/>
      </c>
      <c r="P183" s="12">
        <f>Calculator!$B$4*C183</f>
        <v/>
      </c>
      <c r="Q183" s="12">
        <f>Calculator!$B$4*D183</f>
        <v/>
      </c>
      <c r="R183" s="12">
        <f>Calculator!$B$4*F183</f>
        <v/>
      </c>
    </row>
    <row r="184">
      <c r="A184" s="6">
        <f>Data!A184</f>
        <v/>
      </c>
      <c r="B184" s="16">
        <f>Data!C184/Data!$C$5</f>
        <v/>
      </c>
      <c r="C184" s="16">
        <f>Data!G184/Data!$G$5</f>
        <v/>
      </c>
      <c r="D184" s="16">
        <f>D183*(1+Data!I184/100)</f>
        <v/>
      </c>
      <c r="E184" s="16" t="n">
        <v>1</v>
      </c>
      <c r="F184" s="16">
        <f>F183*(1+Data!H184/100)^(1/12)</f>
        <v/>
      </c>
      <c r="G184" s="12">
        <f>Calculator!$B$4*Calculator!$B$5/100*B184</f>
        <v/>
      </c>
      <c r="H184" s="12">
        <f>Calculator!$B$4*Calculator!$B$6/100*C184</f>
        <v/>
      </c>
      <c r="I184" s="12">
        <f>Calculator!$B$4*Calculator!$B$7/100*D184</f>
        <v/>
      </c>
      <c r="J184" s="12">
        <f>Calculator!$B$4*Calculator!$B$8/100*E184</f>
        <v/>
      </c>
      <c r="K184" s="12">
        <f>SUM(G184:J184)</f>
        <v/>
      </c>
      <c r="L184" s="12">
        <f>K184/F184</f>
        <v/>
      </c>
      <c r="M184" s="12">
        <f>MAX(M183,K184)</f>
        <v/>
      </c>
      <c r="N184" s="13">
        <f>K184/M184-1</f>
        <v/>
      </c>
      <c r="O184" s="12">
        <f>Calculator!$B$4*B184</f>
        <v/>
      </c>
      <c r="P184" s="12">
        <f>Calculator!$B$4*C184</f>
        <v/>
      </c>
      <c r="Q184" s="12">
        <f>Calculator!$B$4*D184</f>
        <v/>
      </c>
      <c r="R184" s="12">
        <f>Calculator!$B$4*F184</f>
        <v/>
      </c>
    </row>
    <row r="185">
      <c r="A185" s="6">
        <f>Data!A185</f>
        <v/>
      </c>
      <c r="B185" s="16">
        <f>Data!C185/Data!$C$5</f>
        <v/>
      </c>
      <c r="C185" s="16">
        <f>Data!G185/Data!$G$5</f>
        <v/>
      </c>
      <c r="D185" s="16">
        <f>D184*(1+Data!I185/100)</f>
        <v/>
      </c>
      <c r="E185" s="16" t="n">
        <v>1</v>
      </c>
      <c r="F185" s="16">
        <f>F184*(1+Data!H185/100)^(1/12)</f>
        <v/>
      </c>
      <c r="G185" s="12">
        <f>Calculator!$B$4*Calculator!$B$5/100*B185</f>
        <v/>
      </c>
      <c r="H185" s="12">
        <f>Calculator!$B$4*Calculator!$B$6/100*C185</f>
        <v/>
      </c>
      <c r="I185" s="12">
        <f>Calculator!$B$4*Calculator!$B$7/100*D185</f>
        <v/>
      </c>
      <c r="J185" s="12">
        <f>Calculator!$B$4*Calculator!$B$8/100*E185</f>
        <v/>
      </c>
      <c r="K185" s="12">
        <f>SUM(G185:J185)</f>
        <v/>
      </c>
      <c r="L185" s="12">
        <f>K185/F185</f>
        <v/>
      </c>
      <c r="M185" s="12">
        <f>MAX(M184,K185)</f>
        <v/>
      </c>
      <c r="N185" s="13">
        <f>K185/M185-1</f>
        <v/>
      </c>
      <c r="O185" s="12">
        <f>Calculator!$B$4*B185</f>
        <v/>
      </c>
      <c r="P185" s="12">
        <f>Calculator!$B$4*C185</f>
        <v/>
      </c>
      <c r="Q185" s="12">
        <f>Calculator!$B$4*D185</f>
        <v/>
      </c>
      <c r="R185" s="12">
        <f>Calculator!$B$4*F185</f>
        <v/>
      </c>
    </row>
    <row r="186">
      <c r="A186" s="6">
        <f>Data!A186</f>
        <v/>
      </c>
      <c r="B186" s="16">
        <f>Data!C186/Data!$C$5</f>
        <v/>
      </c>
      <c r="C186" s="16">
        <f>Data!G186/Data!$G$5</f>
        <v/>
      </c>
      <c r="D186" s="16">
        <f>D185*(1+Data!I186/100)</f>
        <v/>
      </c>
      <c r="E186" s="16" t="n">
        <v>1</v>
      </c>
      <c r="F186" s="16">
        <f>F185*(1+Data!H186/100)^(1/12)</f>
        <v/>
      </c>
      <c r="G186" s="12">
        <f>Calculator!$B$4*Calculator!$B$5/100*B186</f>
        <v/>
      </c>
      <c r="H186" s="12">
        <f>Calculator!$B$4*Calculator!$B$6/100*C186</f>
        <v/>
      </c>
      <c r="I186" s="12">
        <f>Calculator!$B$4*Calculator!$B$7/100*D186</f>
        <v/>
      </c>
      <c r="J186" s="12">
        <f>Calculator!$B$4*Calculator!$B$8/100*E186</f>
        <v/>
      </c>
      <c r="K186" s="12">
        <f>SUM(G186:J186)</f>
        <v/>
      </c>
      <c r="L186" s="12">
        <f>K186/F186</f>
        <v/>
      </c>
      <c r="M186" s="12">
        <f>MAX(M185,K186)</f>
        <v/>
      </c>
      <c r="N186" s="13">
        <f>K186/M186-1</f>
        <v/>
      </c>
      <c r="O186" s="12">
        <f>Calculator!$B$4*B186</f>
        <v/>
      </c>
      <c r="P186" s="12">
        <f>Calculator!$B$4*C186</f>
        <v/>
      </c>
      <c r="Q186" s="12">
        <f>Calculator!$B$4*D186</f>
        <v/>
      </c>
      <c r="R186" s="12">
        <f>Calculator!$B$4*F186</f>
        <v/>
      </c>
    </row>
    <row r="187">
      <c r="A187" s="6">
        <f>Data!A187</f>
        <v/>
      </c>
      <c r="B187" s="16">
        <f>Data!C187/Data!$C$5</f>
        <v/>
      </c>
      <c r="C187" s="16">
        <f>Data!G187/Data!$G$5</f>
        <v/>
      </c>
      <c r="D187" s="16">
        <f>D186*(1+Data!I187/100)</f>
        <v/>
      </c>
      <c r="E187" s="16" t="n">
        <v>1</v>
      </c>
      <c r="F187" s="16">
        <f>F186*(1+Data!H187/100)^(1/12)</f>
        <v/>
      </c>
      <c r="G187" s="12">
        <f>Calculator!$B$4*Calculator!$B$5/100*B187</f>
        <v/>
      </c>
      <c r="H187" s="12">
        <f>Calculator!$B$4*Calculator!$B$6/100*C187</f>
        <v/>
      </c>
      <c r="I187" s="12">
        <f>Calculator!$B$4*Calculator!$B$7/100*D187</f>
        <v/>
      </c>
      <c r="J187" s="12">
        <f>Calculator!$B$4*Calculator!$B$8/100*E187</f>
        <v/>
      </c>
      <c r="K187" s="12">
        <f>SUM(G187:J187)</f>
        <v/>
      </c>
      <c r="L187" s="12">
        <f>K187/F187</f>
        <v/>
      </c>
      <c r="M187" s="12">
        <f>MAX(M186,K187)</f>
        <v/>
      </c>
      <c r="N187" s="13">
        <f>K187/M187-1</f>
        <v/>
      </c>
      <c r="O187" s="12">
        <f>Calculator!$B$4*B187</f>
        <v/>
      </c>
      <c r="P187" s="12">
        <f>Calculator!$B$4*C187</f>
        <v/>
      </c>
      <c r="Q187" s="12">
        <f>Calculator!$B$4*D187</f>
        <v/>
      </c>
      <c r="R187" s="12">
        <f>Calculator!$B$4*F187</f>
        <v/>
      </c>
    </row>
    <row r="188">
      <c r="A188" s="6">
        <f>Data!A188</f>
        <v/>
      </c>
      <c r="B188" s="16">
        <f>Data!C188/Data!$C$5</f>
        <v/>
      </c>
      <c r="C188" s="16">
        <f>Data!G188/Data!$G$5</f>
        <v/>
      </c>
      <c r="D188" s="16">
        <f>D187*(1+Data!I188/100)</f>
        <v/>
      </c>
      <c r="E188" s="16" t="n">
        <v>1</v>
      </c>
      <c r="F188" s="16">
        <f>F187*(1+Data!H188/100)^(1/12)</f>
        <v/>
      </c>
      <c r="G188" s="12">
        <f>Calculator!$B$4*Calculator!$B$5/100*B188</f>
        <v/>
      </c>
      <c r="H188" s="12">
        <f>Calculator!$B$4*Calculator!$B$6/100*C188</f>
        <v/>
      </c>
      <c r="I188" s="12">
        <f>Calculator!$B$4*Calculator!$B$7/100*D188</f>
        <v/>
      </c>
      <c r="J188" s="12">
        <f>Calculator!$B$4*Calculator!$B$8/100*E188</f>
        <v/>
      </c>
      <c r="K188" s="12">
        <f>SUM(G188:J188)</f>
        <v/>
      </c>
      <c r="L188" s="12">
        <f>K188/F188</f>
        <v/>
      </c>
      <c r="M188" s="12">
        <f>MAX(M187,K188)</f>
        <v/>
      </c>
      <c r="N188" s="13">
        <f>K188/M188-1</f>
        <v/>
      </c>
      <c r="O188" s="12">
        <f>Calculator!$B$4*B188</f>
        <v/>
      </c>
      <c r="P188" s="12">
        <f>Calculator!$B$4*C188</f>
        <v/>
      </c>
      <c r="Q188" s="12">
        <f>Calculator!$B$4*D188</f>
        <v/>
      </c>
      <c r="R188" s="12">
        <f>Calculator!$B$4*F188</f>
        <v/>
      </c>
    </row>
    <row r="189">
      <c r="A189" s="6">
        <f>Data!A189</f>
        <v/>
      </c>
      <c r="B189" s="16">
        <f>Data!C189/Data!$C$5</f>
        <v/>
      </c>
      <c r="C189" s="16">
        <f>Data!G189/Data!$G$5</f>
        <v/>
      </c>
      <c r="D189" s="16">
        <f>D188*(1+Data!I189/100)</f>
        <v/>
      </c>
      <c r="E189" s="16" t="n">
        <v>1</v>
      </c>
      <c r="F189" s="16">
        <f>F188*(1+Data!H189/100)^(1/12)</f>
        <v/>
      </c>
      <c r="G189" s="12">
        <f>Calculator!$B$4*Calculator!$B$5/100*B189</f>
        <v/>
      </c>
      <c r="H189" s="12">
        <f>Calculator!$B$4*Calculator!$B$6/100*C189</f>
        <v/>
      </c>
      <c r="I189" s="12">
        <f>Calculator!$B$4*Calculator!$B$7/100*D189</f>
        <v/>
      </c>
      <c r="J189" s="12">
        <f>Calculator!$B$4*Calculator!$B$8/100*E189</f>
        <v/>
      </c>
      <c r="K189" s="12">
        <f>SUM(G189:J189)</f>
        <v/>
      </c>
      <c r="L189" s="12">
        <f>K189/F189</f>
        <v/>
      </c>
      <c r="M189" s="12">
        <f>MAX(M188,K189)</f>
        <v/>
      </c>
      <c r="N189" s="13">
        <f>K189/M189-1</f>
        <v/>
      </c>
      <c r="O189" s="12">
        <f>Calculator!$B$4*B189</f>
        <v/>
      </c>
      <c r="P189" s="12">
        <f>Calculator!$B$4*C189</f>
        <v/>
      </c>
      <c r="Q189" s="12">
        <f>Calculator!$B$4*D189</f>
        <v/>
      </c>
      <c r="R189" s="12">
        <f>Calculator!$B$4*F189</f>
        <v/>
      </c>
    </row>
    <row r="190">
      <c r="A190" s="6">
        <f>Data!A190</f>
        <v/>
      </c>
      <c r="B190" s="16">
        <f>Data!C190/Data!$C$5</f>
        <v/>
      </c>
      <c r="C190" s="16">
        <f>Data!G190/Data!$G$5</f>
        <v/>
      </c>
      <c r="D190" s="16">
        <f>D189*(1+Data!I190/100)</f>
        <v/>
      </c>
      <c r="E190" s="16" t="n">
        <v>1</v>
      </c>
      <c r="F190" s="16">
        <f>F189*(1+Data!H190/100)^(1/12)</f>
        <v/>
      </c>
      <c r="G190" s="12">
        <f>Calculator!$B$4*Calculator!$B$5/100*B190</f>
        <v/>
      </c>
      <c r="H190" s="12">
        <f>Calculator!$B$4*Calculator!$B$6/100*C190</f>
        <v/>
      </c>
      <c r="I190" s="12">
        <f>Calculator!$B$4*Calculator!$B$7/100*D190</f>
        <v/>
      </c>
      <c r="J190" s="12">
        <f>Calculator!$B$4*Calculator!$B$8/100*E190</f>
        <v/>
      </c>
      <c r="K190" s="12">
        <f>SUM(G190:J190)</f>
        <v/>
      </c>
      <c r="L190" s="12">
        <f>K190/F190</f>
        <v/>
      </c>
      <c r="M190" s="12">
        <f>MAX(M189,K190)</f>
        <v/>
      </c>
      <c r="N190" s="13">
        <f>K190/M190-1</f>
        <v/>
      </c>
      <c r="O190" s="12">
        <f>Calculator!$B$4*B190</f>
        <v/>
      </c>
      <c r="P190" s="12">
        <f>Calculator!$B$4*C190</f>
        <v/>
      </c>
      <c r="Q190" s="12">
        <f>Calculator!$B$4*D190</f>
        <v/>
      </c>
      <c r="R190" s="12">
        <f>Calculator!$B$4*F190</f>
        <v/>
      </c>
    </row>
    <row r="191">
      <c r="A191" s="6">
        <f>Data!A191</f>
        <v/>
      </c>
      <c r="B191" s="16">
        <f>Data!C191/Data!$C$5</f>
        <v/>
      </c>
      <c r="C191" s="16">
        <f>Data!G191/Data!$G$5</f>
        <v/>
      </c>
      <c r="D191" s="16">
        <f>D190*(1+Data!I191/100)</f>
        <v/>
      </c>
      <c r="E191" s="16" t="n">
        <v>1</v>
      </c>
      <c r="F191" s="16">
        <f>F190*(1+Data!H191/100)^(1/12)</f>
        <v/>
      </c>
      <c r="G191" s="12">
        <f>Calculator!$B$4*Calculator!$B$5/100*B191</f>
        <v/>
      </c>
      <c r="H191" s="12">
        <f>Calculator!$B$4*Calculator!$B$6/100*C191</f>
        <v/>
      </c>
      <c r="I191" s="12">
        <f>Calculator!$B$4*Calculator!$B$7/100*D191</f>
        <v/>
      </c>
      <c r="J191" s="12">
        <f>Calculator!$B$4*Calculator!$B$8/100*E191</f>
        <v/>
      </c>
      <c r="K191" s="12">
        <f>SUM(G191:J191)</f>
        <v/>
      </c>
      <c r="L191" s="12">
        <f>K191/F191</f>
        <v/>
      </c>
      <c r="M191" s="12">
        <f>MAX(M190,K191)</f>
        <v/>
      </c>
      <c r="N191" s="13">
        <f>K191/M191-1</f>
        <v/>
      </c>
      <c r="O191" s="12">
        <f>Calculator!$B$4*B191</f>
        <v/>
      </c>
      <c r="P191" s="12">
        <f>Calculator!$B$4*C191</f>
        <v/>
      </c>
      <c r="Q191" s="12">
        <f>Calculator!$B$4*D191</f>
        <v/>
      </c>
      <c r="R191" s="12">
        <f>Calculator!$B$4*F191</f>
        <v/>
      </c>
    </row>
    <row r="192">
      <c r="A192" s="6">
        <f>Data!A192</f>
        <v/>
      </c>
      <c r="B192" s="16">
        <f>Data!C192/Data!$C$5</f>
        <v/>
      </c>
      <c r="C192" s="16">
        <f>Data!G192/Data!$G$5</f>
        <v/>
      </c>
      <c r="D192" s="16">
        <f>D191*(1+Data!I192/100)</f>
        <v/>
      </c>
      <c r="E192" s="16" t="n">
        <v>1</v>
      </c>
      <c r="F192" s="16">
        <f>F191*(1+Data!H192/100)^(1/12)</f>
        <v/>
      </c>
      <c r="G192" s="12">
        <f>Calculator!$B$4*Calculator!$B$5/100*B192</f>
        <v/>
      </c>
      <c r="H192" s="12">
        <f>Calculator!$B$4*Calculator!$B$6/100*C192</f>
        <v/>
      </c>
      <c r="I192" s="12">
        <f>Calculator!$B$4*Calculator!$B$7/100*D192</f>
        <v/>
      </c>
      <c r="J192" s="12">
        <f>Calculator!$B$4*Calculator!$B$8/100*E192</f>
        <v/>
      </c>
      <c r="K192" s="12">
        <f>SUM(G192:J192)</f>
        <v/>
      </c>
      <c r="L192" s="12">
        <f>K192/F192</f>
        <v/>
      </c>
      <c r="M192" s="12">
        <f>MAX(M191,K192)</f>
        <v/>
      </c>
      <c r="N192" s="13">
        <f>K192/M192-1</f>
        <v/>
      </c>
      <c r="O192" s="12">
        <f>Calculator!$B$4*B192</f>
        <v/>
      </c>
      <c r="P192" s="12">
        <f>Calculator!$B$4*C192</f>
        <v/>
      </c>
      <c r="Q192" s="12">
        <f>Calculator!$B$4*D192</f>
        <v/>
      </c>
      <c r="R192" s="12">
        <f>Calculator!$B$4*F192</f>
        <v/>
      </c>
    </row>
    <row r="193">
      <c r="A193" s="6">
        <f>Data!A193</f>
        <v/>
      </c>
      <c r="B193" s="16">
        <f>Data!C193/Data!$C$5</f>
        <v/>
      </c>
      <c r="C193" s="16">
        <f>Data!G193/Data!$G$5</f>
        <v/>
      </c>
      <c r="D193" s="16">
        <f>D192*(1+Data!I193/100)</f>
        <v/>
      </c>
      <c r="E193" s="16" t="n">
        <v>1</v>
      </c>
      <c r="F193" s="16">
        <f>F192*(1+Data!H193/100)^(1/12)</f>
        <v/>
      </c>
      <c r="G193" s="12">
        <f>Calculator!$B$4*Calculator!$B$5/100*B193</f>
        <v/>
      </c>
      <c r="H193" s="12">
        <f>Calculator!$B$4*Calculator!$B$6/100*C193</f>
        <v/>
      </c>
      <c r="I193" s="12">
        <f>Calculator!$B$4*Calculator!$B$7/100*D193</f>
        <v/>
      </c>
      <c r="J193" s="12">
        <f>Calculator!$B$4*Calculator!$B$8/100*E193</f>
        <v/>
      </c>
      <c r="K193" s="12">
        <f>SUM(G193:J193)</f>
        <v/>
      </c>
      <c r="L193" s="12">
        <f>K193/F193</f>
        <v/>
      </c>
      <c r="M193" s="12">
        <f>MAX(M192,K193)</f>
        <v/>
      </c>
      <c r="N193" s="13">
        <f>K193/M193-1</f>
        <v/>
      </c>
      <c r="O193" s="12">
        <f>Calculator!$B$4*B193</f>
        <v/>
      </c>
      <c r="P193" s="12">
        <f>Calculator!$B$4*C193</f>
        <v/>
      </c>
      <c r="Q193" s="12">
        <f>Calculator!$B$4*D193</f>
        <v/>
      </c>
      <c r="R193" s="12">
        <f>Calculator!$B$4*F193</f>
        <v/>
      </c>
    </row>
    <row r="194">
      <c r="A194" s="6">
        <f>Data!A194</f>
        <v/>
      </c>
      <c r="B194" s="16">
        <f>Data!C194/Data!$C$5</f>
        <v/>
      </c>
      <c r="C194" s="16">
        <f>Data!G194/Data!$G$5</f>
        <v/>
      </c>
      <c r="D194" s="16">
        <f>D193*(1+Data!I194/100)</f>
        <v/>
      </c>
      <c r="E194" s="16" t="n">
        <v>1</v>
      </c>
      <c r="F194" s="16">
        <f>F193*(1+Data!H194/100)^(1/12)</f>
        <v/>
      </c>
      <c r="G194" s="12">
        <f>Calculator!$B$4*Calculator!$B$5/100*B194</f>
        <v/>
      </c>
      <c r="H194" s="12">
        <f>Calculator!$B$4*Calculator!$B$6/100*C194</f>
        <v/>
      </c>
      <c r="I194" s="12">
        <f>Calculator!$B$4*Calculator!$B$7/100*D194</f>
        <v/>
      </c>
      <c r="J194" s="12">
        <f>Calculator!$B$4*Calculator!$B$8/100*E194</f>
        <v/>
      </c>
      <c r="K194" s="12">
        <f>SUM(G194:J194)</f>
        <v/>
      </c>
      <c r="L194" s="12">
        <f>K194/F194</f>
        <v/>
      </c>
      <c r="M194" s="12">
        <f>MAX(M193,K194)</f>
        <v/>
      </c>
      <c r="N194" s="13">
        <f>K194/M194-1</f>
        <v/>
      </c>
      <c r="O194" s="12">
        <f>Calculator!$B$4*B194</f>
        <v/>
      </c>
      <c r="P194" s="12">
        <f>Calculator!$B$4*C194</f>
        <v/>
      </c>
      <c r="Q194" s="12">
        <f>Calculator!$B$4*D194</f>
        <v/>
      </c>
      <c r="R194" s="12">
        <f>Calculator!$B$4*F194</f>
        <v/>
      </c>
    </row>
    <row r="195">
      <c r="A195" s="6">
        <f>Data!A195</f>
        <v/>
      </c>
      <c r="B195" s="16">
        <f>Data!C195/Data!$C$5</f>
        <v/>
      </c>
      <c r="C195" s="16">
        <f>Data!G195/Data!$G$5</f>
        <v/>
      </c>
      <c r="D195" s="16">
        <f>D194*(1+Data!I195/100)</f>
        <v/>
      </c>
      <c r="E195" s="16" t="n">
        <v>1</v>
      </c>
      <c r="F195" s="16">
        <f>F194*(1+Data!H195/100)^(1/12)</f>
        <v/>
      </c>
      <c r="G195" s="12">
        <f>Calculator!$B$4*Calculator!$B$5/100*B195</f>
        <v/>
      </c>
      <c r="H195" s="12">
        <f>Calculator!$B$4*Calculator!$B$6/100*C195</f>
        <v/>
      </c>
      <c r="I195" s="12">
        <f>Calculator!$B$4*Calculator!$B$7/100*D195</f>
        <v/>
      </c>
      <c r="J195" s="12">
        <f>Calculator!$B$4*Calculator!$B$8/100*E195</f>
        <v/>
      </c>
      <c r="K195" s="12">
        <f>SUM(G195:J195)</f>
        <v/>
      </c>
      <c r="L195" s="12">
        <f>K195/F195</f>
        <v/>
      </c>
      <c r="M195" s="12">
        <f>MAX(M194,K195)</f>
        <v/>
      </c>
      <c r="N195" s="13">
        <f>K195/M195-1</f>
        <v/>
      </c>
      <c r="O195" s="12">
        <f>Calculator!$B$4*B195</f>
        <v/>
      </c>
      <c r="P195" s="12">
        <f>Calculator!$B$4*C195</f>
        <v/>
      </c>
      <c r="Q195" s="12">
        <f>Calculator!$B$4*D195</f>
        <v/>
      </c>
      <c r="R195" s="12">
        <f>Calculator!$B$4*F195</f>
        <v/>
      </c>
    </row>
    <row r="196">
      <c r="A196" s="6">
        <f>Data!A196</f>
        <v/>
      </c>
      <c r="B196" s="16">
        <f>Data!C196/Data!$C$5</f>
        <v/>
      </c>
      <c r="C196" s="16">
        <f>Data!G196/Data!$G$5</f>
        <v/>
      </c>
      <c r="D196" s="16">
        <f>D195*(1+Data!I196/100)</f>
        <v/>
      </c>
      <c r="E196" s="16" t="n">
        <v>1</v>
      </c>
      <c r="F196" s="16">
        <f>F195*(1+Data!H196/100)^(1/12)</f>
        <v/>
      </c>
      <c r="G196" s="12">
        <f>Calculator!$B$4*Calculator!$B$5/100*B196</f>
        <v/>
      </c>
      <c r="H196" s="12">
        <f>Calculator!$B$4*Calculator!$B$6/100*C196</f>
        <v/>
      </c>
      <c r="I196" s="12">
        <f>Calculator!$B$4*Calculator!$B$7/100*D196</f>
        <v/>
      </c>
      <c r="J196" s="12">
        <f>Calculator!$B$4*Calculator!$B$8/100*E196</f>
        <v/>
      </c>
      <c r="K196" s="12">
        <f>SUM(G196:J196)</f>
        <v/>
      </c>
      <c r="L196" s="12">
        <f>K196/F196</f>
        <v/>
      </c>
      <c r="M196" s="12">
        <f>MAX(M195,K196)</f>
        <v/>
      </c>
      <c r="N196" s="13">
        <f>K196/M196-1</f>
        <v/>
      </c>
      <c r="O196" s="12">
        <f>Calculator!$B$4*B196</f>
        <v/>
      </c>
      <c r="P196" s="12">
        <f>Calculator!$B$4*C196</f>
        <v/>
      </c>
      <c r="Q196" s="12">
        <f>Calculator!$B$4*D196</f>
        <v/>
      </c>
      <c r="R196" s="12">
        <f>Calculator!$B$4*F196</f>
        <v/>
      </c>
    </row>
    <row r="197">
      <c r="A197" s="6">
        <f>Data!A197</f>
        <v/>
      </c>
      <c r="B197" s="16">
        <f>Data!C197/Data!$C$5</f>
        <v/>
      </c>
      <c r="C197" s="16">
        <f>Data!G197/Data!$G$5</f>
        <v/>
      </c>
      <c r="D197" s="16">
        <f>D196*(1+Data!I197/100)</f>
        <v/>
      </c>
      <c r="E197" s="16" t="n">
        <v>1</v>
      </c>
      <c r="F197" s="16">
        <f>F196*(1+Data!H197/100)^(1/12)</f>
        <v/>
      </c>
      <c r="G197" s="12">
        <f>Calculator!$B$4*Calculator!$B$5/100*B197</f>
        <v/>
      </c>
      <c r="H197" s="12">
        <f>Calculator!$B$4*Calculator!$B$6/100*C197</f>
        <v/>
      </c>
      <c r="I197" s="12">
        <f>Calculator!$B$4*Calculator!$B$7/100*D197</f>
        <v/>
      </c>
      <c r="J197" s="12">
        <f>Calculator!$B$4*Calculator!$B$8/100*E197</f>
        <v/>
      </c>
      <c r="K197" s="12">
        <f>SUM(G197:J197)</f>
        <v/>
      </c>
      <c r="L197" s="12">
        <f>K197/F197</f>
        <v/>
      </c>
      <c r="M197" s="12">
        <f>MAX(M196,K197)</f>
        <v/>
      </c>
      <c r="N197" s="13">
        <f>K197/M197-1</f>
        <v/>
      </c>
      <c r="O197" s="12">
        <f>Calculator!$B$4*B197</f>
        <v/>
      </c>
      <c r="P197" s="12">
        <f>Calculator!$B$4*C197</f>
        <v/>
      </c>
      <c r="Q197" s="12">
        <f>Calculator!$B$4*D197</f>
        <v/>
      </c>
      <c r="R197" s="12">
        <f>Calculator!$B$4*F197</f>
        <v/>
      </c>
    </row>
    <row r="198">
      <c r="A198" s="6">
        <f>Data!A198</f>
        <v/>
      </c>
      <c r="B198" s="16">
        <f>Data!C198/Data!$C$5</f>
        <v/>
      </c>
      <c r="C198" s="16">
        <f>Data!G198/Data!$G$5</f>
        <v/>
      </c>
      <c r="D198" s="16">
        <f>D197*(1+Data!I198/100)</f>
        <v/>
      </c>
      <c r="E198" s="16" t="n">
        <v>1</v>
      </c>
      <c r="F198" s="16">
        <f>F197*(1+Data!H198/100)^(1/12)</f>
        <v/>
      </c>
      <c r="G198" s="12">
        <f>Calculator!$B$4*Calculator!$B$5/100*B198</f>
        <v/>
      </c>
      <c r="H198" s="12">
        <f>Calculator!$B$4*Calculator!$B$6/100*C198</f>
        <v/>
      </c>
      <c r="I198" s="12">
        <f>Calculator!$B$4*Calculator!$B$7/100*D198</f>
        <v/>
      </c>
      <c r="J198" s="12">
        <f>Calculator!$B$4*Calculator!$B$8/100*E198</f>
        <v/>
      </c>
      <c r="K198" s="12">
        <f>SUM(G198:J198)</f>
        <v/>
      </c>
      <c r="L198" s="12">
        <f>K198/F198</f>
        <v/>
      </c>
      <c r="M198" s="12">
        <f>MAX(M197,K198)</f>
        <v/>
      </c>
      <c r="N198" s="13">
        <f>K198/M198-1</f>
        <v/>
      </c>
      <c r="O198" s="12">
        <f>Calculator!$B$4*B198</f>
        <v/>
      </c>
      <c r="P198" s="12">
        <f>Calculator!$B$4*C198</f>
        <v/>
      </c>
      <c r="Q198" s="12">
        <f>Calculator!$B$4*D198</f>
        <v/>
      </c>
      <c r="R198" s="12">
        <f>Calculator!$B$4*F198</f>
        <v/>
      </c>
    </row>
    <row r="199">
      <c r="A199" s="6">
        <f>Data!A199</f>
        <v/>
      </c>
      <c r="B199" s="16">
        <f>Data!C199/Data!$C$5</f>
        <v/>
      </c>
      <c r="C199" s="16">
        <f>Data!G199/Data!$G$5</f>
        <v/>
      </c>
      <c r="D199" s="16">
        <f>D198*(1+Data!I199/100)</f>
        <v/>
      </c>
      <c r="E199" s="16" t="n">
        <v>1</v>
      </c>
      <c r="F199" s="16">
        <f>F198*(1+Data!H199/100)^(1/12)</f>
        <v/>
      </c>
      <c r="G199" s="12">
        <f>Calculator!$B$4*Calculator!$B$5/100*B199</f>
        <v/>
      </c>
      <c r="H199" s="12">
        <f>Calculator!$B$4*Calculator!$B$6/100*C199</f>
        <v/>
      </c>
      <c r="I199" s="12">
        <f>Calculator!$B$4*Calculator!$B$7/100*D199</f>
        <v/>
      </c>
      <c r="J199" s="12">
        <f>Calculator!$B$4*Calculator!$B$8/100*E199</f>
        <v/>
      </c>
      <c r="K199" s="12">
        <f>SUM(G199:J199)</f>
        <v/>
      </c>
      <c r="L199" s="12">
        <f>K199/F199</f>
        <v/>
      </c>
      <c r="M199" s="12">
        <f>MAX(M198,K199)</f>
        <v/>
      </c>
      <c r="N199" s="13">
        <f>K199/M199-1</f>
        <v/>
      </c>
      <c r="O199" s="12">
        <f>Calculator!$B$4*B199</f>
        <v/>
      </c>
      <c r="P199" s="12">
        <f>Calculator!$B$4*C199</f>
        <v/>
      </c>
      <c r="Q199" s="12">
        <f>Calculator!$B$4*D199</f>
        <v/>
      </c>
      <c r="R199" s="12">
        <f>Calculator!$B$4*F199</f>
        <v/>
      </c>
    </row>
    <row r="200">
      <c r="A200" s="6">
        <f>Data!A200</f>
        <v/>
      </c>
      <c r="B200" s="16">
        <f>Data!C200/Data!$C$5</f>
        <v/>
      </c>
      <c r="C200" s="16">
        <f>Data!G200/Data!$G$5</f>
        <v/>
      </c>
      <c r="D200" s="16">
        <f>D199*(1+Data!I200/100)</f>
        <v/>
      </c>
      <c r="E200" s="16" t="n">
        <v>1</v>
      </c>
      <c r="F200" s="16">
        <f>F199*(1+Data!H200/100)^(1/12)</f>
        <v/>
      </c>
      <c r="G200" s="12">
        <f>Calculator!$B$4*Calculator!$B$5/100*B200</f>
        <v/>
      </c>
      <c r="H200" s="12">
        <f>Calculator!$B$4*Calculator!$B$6/100*C200</f>
        <v/>
      </c>
      <c r="I200" s="12">
        <f>Calculator!$B$4*Calculator!$B$7/100*D200</f>
        <v/>
      </c>
      <c r="J200" s="12">
        <f>Calculator!$B$4*Calculator!$B$8/100*E200</f>
        <v/>
      </c>
      <c r="K200" s="12">
        <f>SUM(G200:J200)</f>
        <v/>
      </c>
      <c r="L200" s="12">
        <f>K200/F200</f>
        <v/>
      </c>
      <c r="M200" s="12">
        <f>MAX(M199,K200)</f>
        <v/>
      </c>
      <c r="N200" s="13">
        <f>K200/M200-1</f>
        <v/>
      </c>
      <c r="O200" s="12">
        <f>Calculator!$B$4*B200</f>
        <v/>
      </c>
      <c r="P200" s="12">
        <f>Calculator!$B$4*C200</f>
        <v/>
      </c>
      <c r="Q200" s="12">
        <f>Calculator!$B$4*D200</f>
        <v/>
      </c>
      <c r="R200" s="12">
        <f>Calculator!$B$4*F200</f>
        <v/>
      </c>
    </row>
    <row r="201">
      <c r="A201" s="6">
        <f>Data!A201</f>
        <v/>
      </c>
      <c r="B201" s="16">
        <f>Data!C201/Data!$C$5</f>
        <v/>
      </c>
      <c r="C201" s="16">
        <f>Data!G201/Data!$G$5</f>
        <v/>
      </c>
      <c r="D201" s="16">
        <f>D200*(1+Data!I201/100)</f>
        <v/>
      </c>
      <c r="E201" s="16" t="n">
        <v>1</v>
      </c>
      <c r="F201" s="16">
        <f>F200*(1+Data!H201/100)^(1/12)</f>
        <v/>
      </c>
      <c r="G201" s="12">
        <f>Calculator!$B$4*Calculator!$B$5/100*B201</f>
        <v/>
      </c>
      <c r="H201" s="12">
        <f>Calculator!$B$4*Calculator!$B$6/100*C201</f>
        <v/>
      </c>
      <c r="I201" s="12">
        <f>Calculator!$B$4*Calculator!$B$7/100*D201</f>
        <v/>
      </c>
      <c r="J201" s="12">
        <f>Calculator!$B$4*Calculator!$B$8/100*E201</f>
        <v/>
      </c>
      <c r="K201" s="12">
        <f>SUM(G201:J201)</f>
        <v/>
      </c>
      <c r="L201" s="12">
        <f>K201/F201</f>
        <v/>
      </c>
      <c r="M201" s="12">
        <f>MAX(M200,K201)</f>
        <v/>
      </c>
      <c r="N201" s="13">
        <f>K201/M201-1</f>
        <v/>
      </c>
      <c r="O201" s="12">
        <f>Calculator!$B$4*B201</f>
        <v/>
      </c>
      <c r="P201" s="12">
        <f>Calculator!$B$4*C201</f>
        <v/>
      </c>
      <c r="Q201" s="12">
        <f>Calculator!$B$4*D201</f>
        <v/>
      </c>
      <c r="R201" s="12">
        <f>Calculator!$B$4*F201</f>
        <v/>
      </c>
    </row>
    <row r="202">
      <c r="A202" s="6">
        <f>Data!A202</f>
        <v/>
      </c>
      <c r="B202" s="16">
        <f>Data!C202/Data!$C$5</f>
        <v/>
      </c>
      <c r="C202" s="16">
        <f>Data!G202/Data!$G$5</f>
        <v/>
      </c>
      <c r="D202" s="16">
        <f>D201*(1+Data!I202/100)</f>
        <v/>
      </c>
      <c r="E202" s="16" t="n">
        <v>1</v>
      </c>
      <c r="F202" s="16">
        <f>F201*(1+Data!H202/100)^(1/12)</f>
        <v/>
      </c>
      <c r="G202" s="12">
        <f>Calculator!$B$4*Calculator!$B$5/100*B202</f>
        <v/>
      </c>
      <c r="H202" s="12">
        <f>Calculator!$B$4*Calculator!$B$6/100*C202</f>
        <v/>
      </c>
      <c r="I202" s="12">
        <f>Calculator!$B$4*Calculator!$B$7/100*D202</f>
        <v/>
      </c>
      <c r="J202" s="12">
        <f>Calculator!$B$4*Calculator!$B$8/100*E202</f>
        <v/>
      </c>
      <c r="K202" s="12">
        <f>SUM(G202:J202)</f>
        <v/>
      </c>
      <c r="L202" s="12">
        <f>K202/F202</f>
        <v/>
      </c>
      <c r="M202" s="12">
        <f>MAX(M201,K202)</f>
        <v/>
      </c>
      <c r="N202" s="13">
        <f>K202/M202-1</f>
        <v/>
      </c>
      <c r="O202" s="12">
        <f>Calculator!$B$4*B202</f>
        <v/>
      </c>
      <c r="P202" s="12">
        <f>Calculator!$B$4*C202</f>
        <v/>
      </c>
      <c r="Q202" s="12">
        <f>Calculator!$B$4*D202</f>
        <v/>
      </c>
      <c r="R202" s="12">
        <f>Calculator!$B$4*F202</f>
        <v/>
      </c>
    </row>
    <row r="203">
      <c r="A203" s="6">
        <f>Data!A203</f>
        <v/>
      </c>
      <c r="B203" s="16">
        <f>Data!C203/Data!$C$5</f>
        <v/>
      </c>
      <c r="C203" s="16">
        <f>Data!G203/Data!$G$5</f>
        <v/>
      </c>
      <c r="D203" s="16">
        <f>D202*(1+Data!I203/100)</f>
        <v/>
      </c>
      <c r="E203" s="16" t="n">
        <v>1</v>
      </c>
      <c r="F203" s="16">
        <f>F202*(1+Data!H203/100)^(1/12)</f>
        <v/>
      </c>
      <c r="G203" s="12">
        <f>Calculator!$B$4*Calculator!$B$5/100*B203</f>
        <v/>
      </c>
      <c r="H203" s="12">
        <f>Calculator!$B$4*Calculator!$B$6/100*C203</f>
        <v/>
      </c>
      <c r="I203" s="12">
        <f>Calculator!$B$4*Calculator!$B$7/100*D203</f>
        <v/>
      </c>
      <c r="J203" s="12">
        <f>Calculator!$B$4*Calculator!$B$8/100*E203</f>
        <v/>
      </c>
      <c r="K203" s="12">
        <f>SUM(G203:J203)</f>
        <v/>
      </c>
      <c r="L203" s="12">
        <f>K203/F203</f>
        <v/>
      </c>
      <c r="M203" s="12">
        <f>MAX(M202,K203)</f>
        <v/>
      </c>
      <c r="N203" s="13">
        <f>K203/M203-1</f>
        <v/>
      </c>
      <c r="O203" s="12">
        <f>Calculator!$B$4*B203</f>
        <v/>
      </c>
      <c r="P203" s="12">
        <f>Calculator!$B$4*C203</f>
        <v/>
      </c>
      <c r="Q203" s="12">
        <f>Calculator!$B$4*D203</f>
        <v/>
      </c>
      <c r="R203" s="12">
        <f>Calculator!$B$4*F203</f>
        <v/>
      </c>
    </row>
    <row r="204">
      <c r="A204" s="6">
        <f>Data!A204</f>
        <v/>
      </c>
      <c r="B204" s="16">
        <f>Data!C204/Data!$C$5</f>
        <v/>
      </c>
      <c r="C204" s="16">
        <f>Data!G204/Data!$G$5</f>
        <v/>
      </c>
      <c r="D204" s="16">
        <f>D203*(1+Data!I204/100)</f>
        <v/>
      </c>
      <c r="E204" s="16" t="n">
        <v>1</v>
      </c>
      <c r="F204" s="16">
        <f>F203*(1+Data!H204/100)^(1/12)</f>
        <v/>
      </c>
      <c r="G204" s="12">
        <f>Calculator!$B$4*Calculator!$B$5/100*B204</f>
        <v/>
      </c>
      <c r="H204" s="12">
        <f>Calculator!$B$4*Calculator!$B$6/100*C204</f>
        <v/>
      </c>
      <c r="I204" s="12">
        <f>Calculator!$B$4*Calculator!$B$7/100*D204</f>
        <v/>
      </c>
      <c r="J204" s="12">
        <f>Calculator!$B$4*Calculator!$B$8/100*E204</f>
        <v/>
      </c>
      <c r="K204" s="12">
        <f>SUM(G204:J204)</f>
        <v/>
      </c>
      <c r="L204" s="12">
        <f>K204/F204</f>
        <v/>
      </c>
      <c r="M204" s="12">
        <f>MAX(M203,K204)</f>
        <v/>
      </c>
      <c r="N204" s="13">
        <f>K204/M204-1</f>
        <v/>
      </c>
      <c r="O204" s="12">
        <f>Calculator!$B$4*B204</f>
        <v/>
      </c>
      <c r="P204" s="12">
        <f>Calculator!$B$4*C204</f>
        <v/>
      </c>
      <c r="Q204" s="12">
        <f>Calculator!$B$4*D204</f>
        <v/>
      </c>
      <c r="R204" s="12">
        <f>Calculator!$B$4*F204</f>
        <v/>
      </c>
    </row>
    <row r="205">
      <c r="A205" s="6">
        <f>Data!A205</f>
        <v/>
      </c>
      <c r="B205" s="16">
        <f>Data!C205/Data!$C$5</f>
        <v/>
      </c>
      <c r="C205" s="16">
        <f>Data!G205/Data!$G$5</f>
        <v/>
      </c>
      <c r="D205" s="16">
        <f>D204*(1+Data!I205/100)</f>
        <v/>
      </c>
      <c r="E205" s="16" t="n">
        <v>1</v>
      </c>
      <c r="F205" s="16">
        <f>F204*(1+Data!H205/100)^(1/12)</f>
        <v/>
      </c>
      <c r="G205" s="12">
        <f>Calculator!$B$4*Calculator!$B$5/100*B205</f>
        <v/>
      </c>
      <c r="H205" s="12">
        <f>Calculator!$B$4*Calculator!$B$6/100*C205</f>
        <v/>
      </c>
      <c r="I205" s="12">
        <f>Calculator!$B$4*Calculator!$B$7/100*D205</f>
        <v/>
      </c>
      <c r="J205" s="12">
        <f>Calculator!$B$4*Calculator!$B$8/100*E205</f>
        <v/>
      </c>
      <c r="K205" s="12">
        <f>SUM(G205:J205)</f>
        <v/>
      </c>
      <c r="L205" s="12">
        <f>K205/F205</f>
        <v/>
      </c>
      <c r="M205" s="12">
        <f>MAX(M204,K205)</f>
        <v/>
      </c>
      <c r="N205" s="13">
        <f>K205/M205-1</f>
        <v/>
      </c>
      <c r="O205" s="12">
        <f>Calculator!$B$4*B205</f>
        <v/>
      </c>
      <c r="P205" s="12">
        <f>Calculator!$B$4*C205</f>
        <v/>
      </c>
      <c r="Q205" s="12">
        <f>Calculator!$B$4*D205</f>
        <v/>
      </c>
      <c r="R205" s="12">
        <f>Calculator!$B$4*F205</f>
        <v/>
      </c>
    </row>
    <row r="206">
      <c r="A206" s="6">
        <f>Data!A206</f>
        <v/>
      </c>
      <c r="B206" s="16">
        <f>Data!C206/Data!$C$5</f>
        <v/>
      </c>
      <c r="C206" s="16">
        <f>Data!G206/Data!$G$5</f>
        <v/>
      </c>
      <c r="D206" s="16">
        <f>D205*(1+Data!I206/100)</f>
        <v/>
      </c>
      <c r="E206" s="16" t="n">
        <v>1</v>
      </c>
      <c r="F206" s="16">
        <f>F205*(1+Data!H206/100)^(1/12)</f>
        <v/>
      </c>
      <c r="G206" s="12">
        <f>Calculator!$B$4*Calculator!$B$5/100*B206</f>
        <v/>
      </c>
      <c r="H206" s="12">
        <f>Calculator!$B$4*Calculator!$B$6/100*C206</f>
        <v/>
      </c>
      <c r="I206" s="12">
        <f>Calculator!$B$4*Calculator!$B$7/100*D206</f>
        <v/>
      </c>
      <c r="J206" s="12">
        <f>Calculator!$B$4*Calculator!$B$8/100*E206</f>
        <v/>
      </c>
      <c r="K206" s="12">
        <f>SUM(G206:J206)</f>
        <v/>
      </c>
      <c r="L206" s="12">
        <f>K206/F206</f>
        <v/>
      </c>
      <c r="M206" s="12">
        <f>MAX(M205,K206)</f>
        <v/>
      </c>
      <c r="N206" s="13">
        <f>K206/M206-1</f>
        <v/>
      </c>
      <c r="O206" s="12">
        <f>Calculator!$B$4*B206</f>
        <v/>
      </c>
      <c r="P206" s="12">
        <f>Calculator!$B$4*C206</f>
        <v/>
      </c>
      <c r="Q206" s="12">
        <f>Calculator!$B$4*D206</f>
        <v/>
      </c>
      <c r="R206" s="12">
        <f>Calculator!$B$4*F206</f>
        <v/>
      </c>
    </row>
    <row r="207">
      <c r="A207" s="6">
        <f>Data!A207</f>
        <v/>
      </c>
      <c r="B207" s="16">
        <f>Data!C207/Data!$C$5</f>
        <v/>
      </c>
      <c r="C207" s="16">
        <f>Data!G207/Data!$G$5</f>
        <v/>
      </c>
      <c r="D207" s="16">
        <f>D206*(1+Data!I207/100)</f>
        <v/>
      </c>
      <c r="E207" s="16" t="n">
        <v>1</v>
      </c>
      <c r="F207" s="16">
        <f>F206*(1+Data!H207/100)^(1/12)</f>
        <v/>
      </c>
      <c r="G207" s="12">
        <f>Calculator!$B$4*Calculator!$B$5/100*B207</f>
        <v/>
      </c>
      <c r="H207" s="12">
        <f>Calculator!$B$4*Calculator!$B$6/100*C207</f>
        <v/>
      </c>
      <c r="I207" s="12">
        <f>Calculator!$B$4*Calculator!$B$7/100*D207</f>
        <v/>
      </c>
      <c r="J207" s="12">
        <f>Calculator!$B$4*Calculator!$B$8/100*E207</f>
        <v/>
      </c>
      <c r="K207" s="12">
        <f>SUM(G207:J207)</f>
        <v/>
      </c>
      <c r="L207" s="12">
        <f>K207/F207</f>
        <v/>
      </c>
      <c r="M207" s="12">
        <f>MAX(M206,K207)</f>
        <v/>
      </c>
      <c r="N207" s="13">
        <f>K207/M207-1</f>
        <v/>
      </c>
      <c r="O207" s="12">
        <f>Calculator!$B$4*B207</f>
        <v/>
      </c>
      <c r="P207" s="12">
        <f>Calculator!$B$4*C207</f>
        <v/>
      </c>
      <c r="Q207" s="12">
        <f>Calculator!$B$4*D207</f>
        <v/>
      </c>
      <c r="R207" s="12">
        <f>Calculator!$B$4*F207</f>
        <v/>
      </c>
    </row>
    <row r="208">
      <c r="A208" s="6">
        <f>Data!A208</f>
        <v/>
      </c>
      <c r="B208" s="16">
        <f>Data!C208/Data!$C$5</f>
        <v/>
      </c>
      <c r="C208" s="16">
        <f>Data!G208/Data!$G$5</f>
        <v/>
      </c>
      <c r="D208" s="16">
        <f>D207*(1+Data!I208/100)</f>
        <v/>
      </c>
      <c r="E208" s="16" t="n">
        <v>1</v>
      </c>
      <c r="F208" s="16">
        <f>F207*(1+Data!H208/100)^(1/12)</f>
        <v/>
      </c>
      <c r="G208" s="12">
        <f>Calculator!$B$4*Calculator!$B$5/100*B208</f>
        <v/>
      </c>
      <c r="H208" s="12">
        <f>Calculator!$B$4*Calculator!$B$6/100*C208</f>
        <v/>
      </c>
      <c r="I208" s="12">
        <f>Calculator!$B$4*Calculator!$B$7/100*D208</f>
        <v/>
      </c>
      <c r="J208" s="12">
        <f>Calculator!$B$4*Calculator!$B$8/100*E208</f>
        <v/>
      </c>
      <c r="K208" s="12">
        <f>SUM(G208:J208)</f>
        <v/>
      </c>
      <c r="L208" s="12">
        <f>K208/F208</f>
        <v/>
      </c>
      <c r="M208" s="12">
        <f>MAX(M207,K208)</f>
        <v/>
      </c>
      <c r="N208" s="13">
        <f>K208/M208-1</f>
        <v/>
      </c>
      <c r="O208" s="12">
        <f>Calculator!$B$4*B208</f>
        <v/>
      </c>
      <c r="P208" s="12">
        <f>Calculator!$B$4*C208</f>
        <v/>
      </c>
      <c r="Q208" s="12">
        <f>Calculator!$B$4*D208</f>
        <v/>
      </c>
      <c r="R208" s="12">
        <f>Calculator!$B$4*F208</f>
        <v/>
      </c>
    </row>
    <row r="209">
      <c r="A209" s="6">
        <f>Data!A209</f>
        <v/>
      </c>
      <c r="B209" s="16">
        <f>Data!C209/Data!$C$5</f>
        <v/>
      </c>
      <c r="C209" s="16">
        <f>Data!G209/Data!$G$5</f>
        <v/>
      </c>
      <c r="D209" s="16">
        <f>D208*(1+Data!I209/100)</f>
        <v/>
      </c>
      <c r="E209" s="16" t="n">
        <v>1</v>
      </c>
      <c r="F209" s="16">
        <f>F208*(1+Data!H209/100)^(1/12)</f>
        <v/>
      </c>
      <c r="G209" s="12">
        <f>Calculator!$B$4*Calculator!$B$5/100*B209</f>
        <v/>
      </c>
      <c r="H209" s="12">
        <f>Calculator!$B$4*Calculator!$B$6/100*C209</f>
        <v/>
      </c>
      <c r="I209" s="12">
        <f>Calculator!$B$4*Calculator!$B$7/100*D209</f>
        <v/>
      </c>
      <c r="J209" s="12">
        <f>Calculator!$B$4*Calculator!$B$8/100*E209</f>
        <v/>
      </c>
      <c r="K209" s="12">
        <f>SUM(G209:J209)</f>
        <v/>
      </c>
      <c r="L209" s="12">
        <f>K209/F209</f>
        <v/>
      </c>
      <c r="M209" s="12">
        <f>MAX(M208,K209)</f>
        <v/>
      </c>
      <c r="N209" s="13">
        <f>K209/M209-1</f>
        <v/>
      </c>
      <c r="O209" s="12">
        <f>Calculator!$B$4*B209</f>
        <v/>
      </c>
      <c r="P209" s="12">
        <f>Calculator!$B$4*C209</f>
        <v/>
      </c>
      <c r="Q209" s="12">
        <f>Calculator!$B$4*D209</f>
        <v/>
      </c>
      <c r="R209" s="12">
        <f>Calculator!$B$4*F209</f>
        <v/>
      </c>
    </row>
    <row r="210">
      <c r="A210" s="6">
        <f>Data!A210</f>
        <v/>
      </c>
      <c r="B210" s="16">
        <f>Data!C210/Data!$C$5</f>
        <v/>
      </c>
      <c r="C210" s="16">
        <f>Data!G210/Data!$G$5</f>
        <v/>
      </c>
      <c r="D210" s="16">
        <f>D209*(1+Data!I210/100)</f>
        <v/>
      </c>
      <c r="E210" s="16" t="n">
        <v>1</v>
      </c>
      <c r="F210" s="16">
        <f>F209*(1+Data!H210/100)^(1/12)</f>
        <v/>
      </c>
      <c r="G210" s="12">
        <f>Calculator!$B$4*Calculator!$B$5/100*B210</f>
        <v/>
      </c>
      <c r="H210" s="12">
        <f>Calculator!$B$4*Calculator!$B$6/100*C210</f>
        <v/>
      </c>
      <c r="I210" s="12">
        <f>Calculator!$B$4*Calculator!$B$7/100*D210</f>
        <v/>
      </c>
      <c r="J210" s="12">
        <f>Calculator!$B$4*Calculator!$B$8/100*E210</f>
        <v/>
      </c>
      <c r="K210" s="12">
        <f>SUM(G210:J210)</f>
        <v/>
      </c>
      <c r="L210" s="12">
        <f>K210/F210</f>
        <v/>
      </c>
      <c r="M210" s="12">
        <f>MAX(M209,K210)</f>
        <v/>
      </c>
      <c r="N210" s="13">
        <f>K210/M210-1</f>
        <v/>
      </c>
      <c r="O210" s="12">
        <f>Calculator!$B$4*B210</f>
        <v/>
      </c>
      <c r="P210" s="12">
        <f>Calculator!$B$4*C210</f>
        <v/>
      </c>
      <c r="Q210" s="12">
        <f>Calculator!$B$4*D210</f>
        <v/>
      </c>
      <c r="R210" s="12">
        <f>Calculator!$B$4*F210</f>
        <v/>
      </c>
    </row>
    <row r="211">
      <c r="A211" s="6">
        <f>Data!A211</f>
        <v/>
      </c>
      <c r="B211" s="16">
        <f>Data!C211/Data!$C$5</f>
        <v/>
      </c>
      <c r="C211" s="16">
        <f>Data!G211/Data!$G$5</f>
        <v/>
      </c>
      <c r="D211" s="16">
        <f>D210*(1+Data!I211/100)</f>
        <v/>
      </c>
      <c r="E211" s="16" t="n">
        <v>1</v>
      </c>
      <c r="F211" s="16">
        <f>F210*(1+Data!H211/100)^(1/12)</f>
        <v/>
      </c>
      <c r="G211" s="12">
        <f>Calculator!$B$4*Calculator!$B$5/100*B211</f>
        <v/>
      </c>
      <c r="H211" s="12">
        <f>Calculator!$B$4*Calculator!$B$6/100*C211</f>
        <v/>
      </c>
      <c r="I211" s="12">
        <f>Calculator!$B$4*Calculator!$B$7/100*D211</f>
        <v/>
      </c>
      <c r="J211" s="12">
        <f>Calculator!$B$4*Calculator!$B$8/100*E211</f>
        <v/>
      </c>
      <c r="K211" s="12">
        <f>SUM(G211:J211)</f>
        <v/>
      </c>
      <c r="L211" s="12">
        <f>K211/F211</f>
        <v/>
      </c>
      <c r="M211" s="12">
        <f>MAX(M210,K211)</f>
        <v/>
      </c>
      <c r="N211" s="13">
        <f>K211/M211-1</f>
        <v/>
      </c>
      <c r="O211" s="12">
        <f>Calculator!$B$4*B211</f>
        <v/>
      </c>
      <c r="P211" s="12">
        <f>Calculator!$B$4*C211</f>
        <v/>
      </c>
      <c r="Q211" s="12">
        <f>Calculator!$B$4*D211</f>
        <v/>
      </c>
      <c r="R211" s="12">
        <f>Calculator!$B$4*F211</f>
        <v/>
      </c>
    </row>
    <row r="212">
      <c r="A212" s="6">
        <f>Data!A212</f>
        <v/>
      </c>
      <c r="B212" s="16">
        <f>Data!C212/Data!$C$5</f>
        <v/>
      </c>
      <c r="C212" s="16">
        <f>Data!G212/Data!$G$5</f>
        <v/>
      </c>
      <c r="D212" s="16">
        <f>D211*(1+Data!I212/100)</f>
        <v/>
      </c>
      <c r="E212" s="16" t="n">
        <v>1</v>
      </c>
      <c r="F212" s="16">
        <f>F211*(1+Data!H212/100)^(1/12)</f>
        <v/>
      </c>
      <c r="G212" s="12">
        <f>Calculator!$B$4*Calculator!$B$5/100*B212</f>
        <v/>
      </c>
      <c r="H212" s="12">
        <f>Calculator!$B$4*Calculator!$B$6/100*C212</f>
        <v/>
      </c>
      <c r="I212" s="12">
        <f>Calculator!$B$4*Calculator!$B$7/100*D212</f>
        <v/>
      </c>
      <c r="J212" s="12">
        <f>Calculator!$B$4*Calculator!$B$8/100*E212</f>
        <v/>
      </c>
      <c r="K212" s="12">
        <f>SUM(G212:J212)</f>
        <v/>
      </c>
      <c r="L212" s="12">
        <f>K212/F212</f>
        <v/>
      </c>
      <c r="M212" s="12">
        <f>MAX(M211,K212)</f>
        <v/>
      </c>
      <c r="N212" s="13">
        <f>K212/M212-1</f>
        <v/>
      </c>
      <c r="O212" s="12">
        <f>Calculator!$B$4*B212</f>
        <v/>
      </c>
      <c r="P212" s="12">
        <f>Calculator!$B$4*C212</f>
        <v/>
      </c>
      <c r="Q212" s="12">
        <f>Calculator!$B$4*D212</f>
        <v/>
      </c>
      <c r="R212" s="12">
        <f>Calculator!$B$4*F212</f>
        <v/>
      </c>
    </row>
    <row r="213">
      <c r="A213" s="6">
        <f>Data!A213</f>
        <v/>
      </c>
      <c r="B213" s="16">
        <f>Data!C213/Data!$C$5</f>
        <v/>
      </c>
      <c r="C213" s="16">
        <f>Data!G213/Data!$G$5</f>
        <v/>
      </c>
      <c r="D213" s="16">
        <f>D212*(1+Data!I213/100)</f>
        <v/>
      </c>
      <c r="E213" s="16" t="n">
        <v>1</v>
      </c>
      <c r="F213" s="16">
        <f>F212*(1+Data!H213/100)^(1/12)</f>
        <v/>
      </c>
      <c r="G213" s="12">
        <f>Calculator!$B$4*Calculator!$B$5/100*B213</f>
        <v/>
      </c>
      <c r="H213" s="12">
        <f>Calculator!$B$4*Calculator!$B$6/100*C213</f>
        <v/>
      </c>
      <c r="I213" s="12">
        <f>Calculator!$B$4*Calculator!$B$7/100*D213</f>
        <v/>
      </c>
      <c r="J213" s="12">
        <f>Calculator!$B$4*Calculator!$B$8/100*E213</f>
        <v/>
      </c>
      <c r="K213" s="12">
        <f>SUM(G213:J213)</f>
        <v/>
      </c>
      <c r="L213" s="12">
        <f>K213/F213</f>
        <v/>
      </c>
      <c r="M213" s="12">
        <f>MAX(M212,K213)</f>
        <v/>
      </c>
      <c r="N213" s="13">
        <f>K213/M213-1</f>
        <v/>
      </c>
      <c r="O213" s="12">
        <f>Calculator!$B$4*B213</f>
        <v/>
      </c>
      <c r="P213" s="12">
        <f>Calculator!$B$4*C213</f>
        <v/>
      </c>
      <c r="Q213" s="12">
        <f>Calculator!$B$4*D213</f>
        <v/>
      </c>
      <c r="R213" s="12">
        <f>Calculator!$B$4*F213</f>
        <v/>
      </c>
    </row>
    <row r="214">
      <c r="A214" s="6">
        <f>Data!A214</f>
        <v/>
      </c>
      <c r="B214" s="16">
        <f>Data!C214/Data!$C$5</f>
        <v/>
      </c>
      <c r="C214" s="16">
        <f>Data!G214/Data!$G$5</f>
        <v/>
      </c>
      <c r="D214" s="16">
        <f>D213*(1+Data!I214/100)</f>
        <v/>
      </c>
      <c r="E214" s="16" t="n">
        <v>1</v>
      </c>
      <c r="F214" s="16">
        <f>F213*(1+Data!H214/100)^(1/12)</f>
        <v/>
      </c>
      <c r="G214" s="12">
        <f>Calculator!$B$4*Calculator!$B$5/100*B214</f>
        <v/>
      </c>
      <c r="H214" s="12">
        <f>Calculator!$B$4*Calculator!$B$6/100*C214</f>
        <v/>
      </c>
      <c r="I214" s="12">
        <f>Calculator!$B$4*Calculator!$B$7/100*D214</f>
        <v/>
      </c>
      <c r="J214" s="12">
        <f>Calculator!$B$4*Calculator!$B$8/100*E214</f>
        <v/>
      </c>
      <c r="K214" s="12">
        <f>SUM(G214:J214)</f>
        <v/>
      </c>
      <c r="L214" s="12">
        <f>K214/F214</f>
        <v/>
      </c>
      <c r="M214" s="12">
        <f>MAX(M213,K214)</f>
        <v/>
      </c>
      <c r="N214" s="13">
        <f>K214/M214-1</f>
        <v/>
      </c>
      <c r="O214" s="12">
        <f>Calculator!$B$4*B214</f>
        <v/>
      </c>
      <c r="P214" s="12">
        <f>Calculator!$B$4*C214</f>
        <v/>
      </c>
      <c r="Q214" s="12">
        <f>Calculator!$B$4*D214</f>
        <v/>
      </c>
      <c r="R214" s="12">
        <f>Calculator!$B$4*F214</f>
        <v/>
      </c>
    </row>
    <row r="215">
      <c r="A215" s="6">
        <f>Data!A215</f>
        <v/>
      </c>
      <c r="B215" s="16">
        <f>Data!C215/Data!$C$5</f>
        <v/>
      </c>
      <c r="C215" s="16">
        <f>Data!G215/Data!$G$5</f>
        <v/>
      </c>
      <c r="D215" s="16">
        <f>D214*(1+Data!I215/100)</f>
        <v/>
      </c>
      <c r="E215" s="16" t="n">
        <v>1</v>
      </c>
      <c r="F215" s="16">
        <f>F214*(1+Data!H215/100)^(1/12)</f>
        <v/>
      </c>
      <c r="G215" s="12">
        <f>Calculator!$B$4*Calculator!$B$5/100*B215</f>
        <v/>
      </c>
      <c r="H215" s="12">
        <f>Calculator!$B$4*Calculator!$B$6/100*C215</f>
        <v/>
      </c>
      <c r="I215" s="12">
        <f>Calculator!$B$4*Calculator!$B$7/100*D215</f>
        <v/>
      </c>
      <c r="J215" s="12">
        <f>Calculator!$B$4*Calculator!$B$8/100*E215</f>
        <v/>
      </c>
      <c r="K215" s="12">
        <f>SUM(G215:J215)</f>
        <v/>
      </c>
      <c r="L215" s="12">
        <f>K215/F215</f>
        <v/>
      </c>
      <c r="M215" s="12">
        <f>MAX(M214,K215)</f>
        <v/>
      </c>
      <c r="N215" s="13">
        <f>K215/M215-1</f>
        <v/>
      </c>
      <c r="O215" s="12">
        <f>Calculator!$B$4*B215</f>
        <v/>
      </c>
      <c r="P215" s="12">
        <f>Calculator!$B$4*C215</f>
        <v/>
      </c>
      <c r="Q215" s="12">
        <f>Calculator!$B$4*D215</f>
        <v/>
      </c>
      <c r="R215" s="12">
        <f>Calculator!$B$4*F215</f>
        <v/>
      </c>
    </row>
    <row r="216">
      <c r="A216" s="6">
        <f>Data!A216</f>
        <v/>
      </c>
      <c r="B216" s="16">
        <f>Data!C216/Data!$C$5</f>
        <v/>
      </c>
      <c r="C216" s="16">
        <f>Data!G216/Data!$G$5</f>
        <v/>
      </c>
      <c r="D216" s="16">
        <f>D215*(1+Data!I216/100)</f>
        <v/>
      </c>
      <c r="E216" s="16" t="n">
        <v>1</v>
      </c>
      <c r="F216" s="16">
        <f>F215*(1+Data!H216/100)^(1/12)</f>
        <v/>
      </c>
      <c r="G216" s="12">
        <f>Calculator!$B$4*Calculator!$B$5/100*B216</f>
        <v/>
      </c>
      <c r="H216" s="12">
        <f>Calculator!$B$4*Calculator!$B$6/100*C216</f>
        <v/>
      </c>
      <c r="I216" s="12">
        <f>Calculator!$B$4*Calculator!$B$7/100*D216</f>
        <v/>
      </c>
      <c r="J216" s="12">
        <f>Calculator!$B$4*Calculator!$B$8/100*E216</f>
        <v/>
      </c>
      <c r="K216" s="12">
        <f>SUM(G216:J216)</f>
        <v/>
      </c>
      <c r="L216" s="12">
        <f>K216/F216</f>
        <v/>
      </c>
      <c r="M216" s="12">
        <f>MAX(M215,K216)</f>
        <v/>
      </c>
      <c r="N216" s="13">
        <f>K216/M216-1</f>
        <v/>
      </c>
      <c r="O216" s="12">
        <f>Calculator!$B$4*B216</f>
        <v/>
      </c>
      <c r="P216" s="12">
        <f>Calculator!$B$4*C216</f>
        <v/>
      </c>
      <c r="Q216" s="12">
        <f>Calculator!$B$4*D216</f>
        <v/>
      </c>
      <c r="R216" s="12">
        <f>Calculator!$B$4*F216</f>
        <v/>
      </c>
    </row>
    <row r="217">
      <c r="A217" s="6">
        <f>Data!A217</f>
        <v/>
      </c>
      <c r="B217" s="16">
        <f>Data!C217/Data!$C$5</f>
        <v/>
      </c>
      <c r="C217" s="16">
        <f>Data!G217/Data!$G$5</f>
        <v/>
      </c>
      <c r="D217" s="16">
        <f>D216*(1+Data!I217/100)</f>
        <v/>
      </c>
      <c r="E217" s="16" t="n">
        <v>1</v>
      </c>
      <c r="F217" s="16">
        <f>F216*(1+Data!H217/100)^(1/12)</f>
        <v/>
      </c>
      <c r="G217" s="12">
        <f>Calculator!$B$4*Calculator!$B$5/100*B217</f>
        <v/>
      </c>
      <c r="H217" s="12">
        <f>Calculator!$B$4*Calculator!$B$6/100*C217</f>
        <v/>
      </c>
      <c r="I217" s="12">
        <f>Calculator!$B$4*Calculator!$B$7/100*D217</f>
        <v/>
      </c>
      <c r="J217" s="12">
        <f>Calculator!$B$4*Calculator!$B$8/100*E217</f>
        <v/>
      </c>
      <c r="K217" s="12">
        <f>SUM(G217:J217)</f>
        <v/>
      </c>
      <c r="L217" s="12">
        <f>K217/F217</f>
        <v/>
      </c>
      <c r="M217" s="12">
        <f>MAX(M216,K217)</f>
        <v/>
      </c>
      <c r="N217" s="13">
        <f>K217/M217-1</f>
        <v/>
      </c>
      <c r="O217" s="12">
        <f>Calculator!$B$4*B217</f>
        <v/>
      </c>
      <c r="P217" s="12">
        <f>Calculator!$B$4*C217</f>
        <v/>
      </c>
      <c r="Q217" s="12">
        <f>Calculator!$B$4*D217</f>
        <v/>
      </c>
      <c r="R217" s="12">
        <f>Calculator!$B$4*F217</f>
        <v/>
      </c>
    </row>
    <row r="218">
      <c r="A218" s="6">
        <f>Data!A218</f>
        <v/>
      </c>
      <c r="B218" s="16">
        <f>Data!C218/Data!$C$5</f>
        <v/>
      </c>
      <c r="C218" s="16">
        <f>Data!G218/Data!$G$5</f>
        <v/>
      </c>
      <c r="D218" s="16">
        <f>D217*(1+Data!I218/100)</f>
        <v/>
      </c>
      <c r="E218" s="16" t="n">
        <v>1</v>
      </c>
      <c r="F218" s="16">
        <f>F217*(1+Data!H218/100)^(1/12)</f>
        <v/>
      </c>
      <c r="G218" s="12">
        <f>Calculator!$B$4*Calculator!$B$5/100*B218</f>
        <v/>
      </c>
      <c r="H218" s="12">
        <f>Calculator!$B$4*Calculator!$B$6/100*C218</f>
        <v/>
      </c>
      <c r="I218" s="12">
        <f>Calculator!$B$4*Calculator!$B$7/100*D218</f>
        <v/>
      </c>
      <c r="J218" s="12">
        <f>Calculator!$B$4*Calculator!$B$8/100*E218</f>
        <v/>
      </c>
      <c r="K218" s="12">
        <f>SUM(G218:J218)</f>
        <v/>
      </c>
      <c r="L218" s="12">
        <f>K218/F218</f>
        <v/>
      </c>
      <c r="M218" s="12">
        <f>MAX(M217,K218)</f>
        <v/>
      </c>
      <c r="N218" s="13">
        <f>K218/M218-1</f>
        <v/>
      </c>
      <c r="O218" s="12">
        <f>Calculator!$B$4*B218</f>
        <v/>
      </c>
      <c r="P218" s="12">
        <f>Calculator!$B$4*C218</f>
        <v/>
      </c>
      <c r="Q218" s="12">
        <f>Calculator!$B$4*D218</f>
        <v/>
      </c>
      <c r="R218" s="12">
        <f>Calculator!$B$4*F218</f>
        <v/>
      </c>
    </row>
    <row r="219">
      <c r="A219" s="6">
        <f>Data!A219</f>
        <v/>
      </c>
      <c r="B219" s="16">
        <f>Data!C219/Data!$C$5</f>
        <v/>
      </c>
      <c r="C219" s="16">
        <f>Data!G219/Data!$G$5</f>
        <v/>
      </c>
      <c r="D219" s="16">
        <f>D218*(1+Data!I219/100)</f>
        <v/>
      </c>
      <c r="E219" s="16" t="n">
        <v>1</v>
      </c>
      <c r="F219" s="16">
        <f>F218*(1+Data!H219/100)^(1/12)</f>
        <v/>
      </c>
      <c r="G219" s="12">
        <f>Calculator!$B$4*Calculator!$B$5/100*B219</f>
        <v/>
      </c>
      <c r="H219" s="12">
        <f>Calculator!$B$4*Calculator!$B$6/100*C219</f>
        <v/>
      </c>
      <c r="I219" s="12">
        <f>Calculator!$B$4*Calculator!$B$7/100*D219</f>
        <v/>
      </c>
      <c r="J219" s="12">
        <f>Calculator!$B$4*Calculator!$B$8/100*E219</f>
        <v/>
      </c>
      <c r="K219" s="12">
        <f>SUM(G219:J219)</f>
        <v/>
      </c>
      <c r="L219" s="12">
        <f>K219/F219</f>
        <v/>
      </c>
      <c r="M219" s="12">
        <f>MAX(M218,K219)</f>
        <v/>
      </c>
      <c r="N219" s="13">
        <f>K219/M219-1</f>
        <v/>
      </c>
      <c r="O219" s="12">
        <f>Calculator!$B$4*B219</f>
        <v/>
      </c>
      <c r="P219" s="12">
        <f>Calculator!$B$4*C219</f>
        <v/>
      </c>
      <c r="Q219" s="12">
        <f>Calculator!$B$4*D219</f>
        <v/>
      </c>
      <c r="R219" s="12">
        <f>Calculator!$B$4*F219</f>
        <v/>
      </c>
    </row>
    <row r="220">
      <c r="A220" s="6">
        <f>Data!A220</f>
        <v/>
      </c>
      <c r="B220" s="16">
        <f>Data!C220/Data!$C$5</f>
        <v/>
      </c>
      <c r="C220" s="16">
        <f>Data!G220/Data!$G$5</f>
        <v/>
      </c>
      <c r="D220" s="16">
        <f>D219*(1+Data!I220/100)</f>
        <v/>
      </c>
      <c r="E220" s="16" t="n">
        <v>1</v>
      </c>
      <c r="F220" s="16">
        <f>F219*(1+Data!H220/100)^(1/12)</f>
        <v/>
      </c>
      <c r="G220" s="12">
        <f>Calculator!$B$4*Calculator!$B$5/100*B220</f>
        <v/>
      </c>
      <c r="H220" s="12">
        <f>Calculator!$B$4*Calculator!$B$6/100*C220</f>
        <v/>
      </c>
      <c r="I220" s="12">
        <f>Calculator!$B$4*Calculator!$B$7/100*D220</f>
        <v/>
      </c>
      <c r="J220" s="12">
        <f>Calculator!$B$4*Calculator!$B$8/100*E220</f>
        <v/>
      </c>
      <c r="K220" s="12">
        <f>SUM(G220:J220)</f>
        <v/>
      </c>
      <c r="L220" s="12">
        <f>K220/F220</f>
        <v/>
      </c>
      <c r="M220" s="12">
        <f>MAX(M219,K220)</f>
        <v/>
      </c>
      <c r="N220" s="13">
        <f>K220/M220-1</f>
        <v/>
      </c>
      <c r="O220" s="12">
        <f>Calculator!$B$4*B220</f>
        <v/>
      </c>
      <c r="P220" s="12">
        <f>Calculator!$B$4*C220</f>
        <v/>
      </c>
      <c r="Q220" s="12">
        <f>Calculator!$B$4*D220</f>
        <v/>
      </c>
      <c r="R220" s="12">
        <f>Calculator!$B$4*F220</f>
        <v/>
      </c>
    </row>
    <row r="221">
      <c r="A221" s="6">
        <f>Data!A221</f>
        <v/>
      </c>
      <c r="B221" s="16">
        <f>Data!C221/Data!$C$5</f>
        <v/>
      </c>
      <c r="C221" s="16">
        <f>Data!G221/Data!$G$5</f>
        <v/>
      </c>
      <c r="D221" s="16">
        <f>D220*(1+Data!I221/100)</f>
        <v/>
      </c>
      <c r="E221" s="16" t="n">
        <v>1</v>
      </c>
      <c r="F221" s="16">
        <f>F220*(1+Data!H221/100)^(1/12)</f>
        <v/>
      </c>
      <c r="G221" s="12">
        <f>Calculator!$B$4*Calculator!$B$5/100*B221</f>
        <v/>
      </c>
      <c r="H221" s="12">
        <f>Calculator!$B$4*Calculator!$B$6/100*C221</f>
        <v/>
      </c>
      <c r="I221" s="12">
        <f>Calculator!$B$4*Calculator!$B$7/100*D221</f>
        <v/>
      </c>
      <c r="J221" s="12">
        <f>Calculator!$B$4*Calculator!$B$8/100*E221</f>
        <v/>
      </c>
      <c r="K221" s="12">
        <f>SUM(G221:J221)</f>
        <v/>
      </c>
      <c r="L221" s="12">
        <f>K221/F221</f>
        <v/>
      </c>
      <c r="M221" s="12">
        <f>MAX(M220,K221)</f>
        <v/>
      </c>
      <c r="N221" s="13">
        <f>K221/M221-1</f>
        <v/>
      </c>
      <c r="O221" s="12">
        <f>Calculator!$B$4*B221</f>
        <v/>
      </c>
      <c r="P221" s="12">
        <f>Calculator!$B$4*C221</f>
        <v/>
      </c>
      <c r="Q221" s="12">
        <f>Calculator!$B$4*D221</f>
        <v/>
      </c>
      <c r="R221" s="12">
        <f>Calculator!$B$4*F221</f>
        <v/>
      </c>
    </row>
    <row r="222">
      <c r="A222" s="6">
        <f>Data!A222</f>
        <v/>
      </c>
      <c r="B222" s="16">
        <f>Data!C222/Data!$C$5</f>
        <v/>
      </c>
      <c r="C222" s="16">
        <f>Data!G222/Data!$G$5</f>
        <v/>
      </c>
      <c r="D222" s="16">
        <f>D221*(1+Data!I222/100)</f>
        <v/>
      </c>
      <c r="E222" s="16" t="n">
        <v>1</v>
      </c>
      <c r="F222" s="16">
        <f>F221*(1+Data!H222/100)^(1/12)</f>
        <v/>
      </c>
      <c r="G222" s="12">
        <f>Calculator!$B$4*Calculator!$B$5/100*B222</f>
        <v/>
      </c>
      <c r="H222" s="12">
        <f>Calculator!$B$4*Calculator!$B$6/100*C222</f>
        <v/>
      </c>
      <c r="I222" s="12">
        <f>Calculator!$B$4*Calculator!$B$7/100*D222</f>
        <v/>
      </c>
      <c r="J222" s="12">
        <f>Calculator!$B$4*Calculator!$B$8/100*E222</f>
        <v/>
      </c>
      <c r="K222" s="12">
        <f>SUM(G222:J222)</f>
        <v/>
      </c>
      <c r="L222" s="12">
        <f>K222/F222</f>
        <v/>
      </c>
      <c r="M222" s="12">
        <f>MAX(M221,K222)</f>
        <v/>
      </c>
      <c r="N222" s="13">
        <f>K222/M222-1</f>
        <v/>
      </c>
      <c r="O222" s="12">
        <f>Calculator!$B$4*B222</f>
        <v/>
      </c>
      <c r="P222" s="12">
        <f>Calculator!$B$4*C222</f>
        <v/>
      </c>
      <c r="Q222" s="12">
        <f>Calculator!$B$4*D222</f>
        <v/>
      </c>
      <c r="R222" s="12">
        <f>Calculator!$B$4*F222</f>
        <v/>
      </c>
    </row>
    <row r="223">
      <c r="A223" s="6">
        <f>Data!A223</f>
        <v/>
      </c>
      <c r="B223" s="16">
        <f>Data!C223/Data!$C$5</f>
        <v/>
      </c>
      <c r="C223" s="16">
        <f>Data!G223/Data!$G$5</f>
        <v/>
      </c>
      <c r="D223" s="16">
        <f>D222*(1+Data!I223/100)</f>
        <v/>
      </c>
      <c r="E223" s="16" t="n">
        <v>1</v>
      </c>
      <c r="F223" s="16">
        <f>F222*(1+Data!H223/100)^(1/12)</f>
        <v/>
      </c>
      <c r="G223" s="12">
        <f>Calculator!$B$4*Calculator!$B$5/100*B223</f>
        <v/>
      </c>
      <c r="H223" s="12">
        <f>Calculator!$B$4*Calculator!$B$6/100*C223</f>
        <v/>
      </c>
      <c r="I223" s="12">
        <f>Calculator!$B$4*Calculator!$B$7/100*D223</f>
        <v/>
      </c>
      <c r="J223" s="12">
        <f>Calculator!$B$4*Calculator!$B$8/100*E223</f>
        <v/>
      </c>
      <c r="K223" s="12">
        <f>SUM(G223:J223)</f>
        <v/>
      </c>
      <c r="L223" s="12">
        <f>K223/F223</f>
        <v/>
      </c>
      <c r="M223" s="12">
        <f>MAX(M222,K223)</f>
        <v/>
      </c>
      <c r="N223" s="13">
        <f>K223/M223-1</f>
        <v/>
      </c>
      <c r="O223" s="12">
        <f>Calculator!$B$4*B223</f>
        <v/>
      </c>
      <c r="P223" s="12">
        <f>Calculator!$B$4*C223</f>
        <v/>
      </c>
      <c r="Q223" s="12">
        <f>Calculator!$B$4*D223</f>
        <v/>
      </c>
      <c r="R223" s="12">
        <f>Calculator!$B$4*F223</f>
        <v/>
      </c>
    </row>
    <row r="224">
      <c r="A224" s="6">
        <f>Data!A224</f>
        <v/>
      </c>
      <c r="B224" s="16">
        <f>Data!C224/Data!$C$5</f>
        <v/>
      </c>
      <c r="C224" s="16">
        <f>Data!G224/Data!$G$5</f>
        <v/>
      </c>
      <c r="D224" s="16">
        <f>D223*(1+Data!I224/100)</f>
        <v/>
      </c>
      <c r="E224" s="16" t="n">
        <v>1</v>
      </c>
      <c r="F224" s="16">
        <f>F223*(1+Data!H224/100)^(1/12)</f>
        <v/>
      </c>
      <c r="G224" s="12">
        <f>Calculator!$B$4*Calculator!$B$5/100*B224</f>
        <v/>
      </c>
      <c r="H224" s="12">
        <f>Calculator!$B$4*Calculator!$B$6/100*C224</f>
        <v/>
      </c>
      <c r="I224" s="12">
        <f>Calculator!$B$4*Calculator!$B$7/100*D224</f>
        <v/>
      </c>
      <c r="J224" s="12">
        <f>Calculator!$B$4*Calculator!$B$8/100*E224</f>
        <v/>
      </c>
      <c r="K224" s="12">
        <f>SUM(G224:J224)</f>
        <v/>
      </c>
      <c r="L224" s="12">
        <f>K224/F224</f>
        <v/>
      </c>
      <c r="M224" s="12">
        <f>MAX(M223,K224)</f>
        <v/>
      </c>
      <c r="N224" s="13">
        <f>K224/M224-1</f>
        <v/>
      </c>
      <c r="O224" s="12">
        <f>Calculator!$B$4*B224</f>
        <v/>
      </c>
      <c r="P224" s="12">
        <f>Calculator!$B$4*C224</f>
        <v/>
      </c>
      <c r="Q224" s="12">
        <f>Calculator!$B$4*D224</f>
        <v/>
      </c>
      <c r="R224" s="12">
        <f>Calculator!$B$4*F224</f>
        <v/>
      </c>
    </row>
    <row r="225">
      <c r="A225" s="6">
        <f>Data!A225</f>
        <v/>
      </c>
      <c r="B225" s="16">
        <f>Data!C225/Data!$C$5</f>
        <v/>
      </c>
      <c r="C225" s="16">
        <f>Data!G225/Data!$G$5</f>
        <v/>
      </c>
      <c r="D225" s="16">
        <f>D224*(1+Data!I225/100)</f>
        <v/>
      </c>
      <c r="E225" s="16" t="n">
        <v>1</v>
      </c>
      <c r="F225" s="16">
        <f>F224*(1+Data!H225/100)^(1/12)</f>
        <v/>
      </c>
      <c r="G225" s="12">
        <f>Calculator!$B$4*Calculator!$B$5/100*B225</f>
        <v/>
      </c>
      <c r="H225" s="12">
        <f>Calculator!$B$4*Calculator!$B$6/100*C225</f>
        <v/>
      </c>
      <c r="I225" s="12">
        <f>Calculator!$B$4*Calculator!$B$7/100*D225</f>
        <v/>
      </c>
      <c r="J225" s="12">
        <f>Calculator!$B$4*Calculator!$B$8/100*E225</f>
        <v/>
      </c>
      <c r="K225" s="12">
        <f>SUM(G225:J225)</f>
        <v/>
      </c>
      <c r="L225" s="12">
        <f>K225/F225</f>
        <v/>
      </c>
      <c r="M225" s="12">
        <f>MAX(M224,K225)</f>
        <v/>
      </c>
      <c r="N225" s="13">
        <f>K225/M225-1</f>
        <v/>
      </c>
      <c r="O225" s="12">
        <f>Calculator!$B$4*B225</f>
        <v/>
      </c>
      <c r="P225" s="12">
        <f>Calculator!$B$4*C225</f>
        <v/>
      </c>
      <c r="Q225" s="12">
        <f>Calculator!$B$4*D225</f>
        <v/>
      </c>
      <c r="R225" s="12">
        <f>Calculator!$B$4*F225</f>
        <v/>
      </c>
    </row>
    <row r="226">
      <c r="A226" s="6">
        <f>Data!A226</f>
        <v/>
      </c>
      <c r="B226" s="16">
        <f>Data!C226/Data!$C$5</f>
        <v/>
      </c>
      <c r="C226" s="16">
        <f>Data!G226/Data!$G$5</f>
        <v/>
      </c>
      <c r="D226" s="16">
        <f>D225*(1+Data!I226/100)</f>
        <v/>
      </c>
      <c r="E226" s="16" t="n">
        <v>1</v>
      </c>
      <c r="F226" s="16">
        <f>F225*(1+Data!H226/100)^(1/12)</f>
        <v/>
      </c>
      <c r="G226" s="12">
        <f>Calculator!$B$4*Calculator!$B$5/100*B226</f>
        <v/>
      </c>
      <c r="H226" s="12">
        <f>Calculator!$B$4*Calculator!$B$6/100*C226</f>
        <v/>
      </c>
      <c r="I226" s="12">
        <f>Calculator!$B$4*Calculator!$B$7/100*D226</f>
        <v/>
      </c>
      <c r="J226" s="12">
        <f>Calculator!$B$4*Calculator!$B$8/100*E226</f>
        <v/>
      </c>
      <c r="K226" s="12">
        <f>SUM(G226:J226)</f>
        <v/>
      </c>
      <c r="L226" s="12">
        <f>K226/F226</f>
        <v/>
      </c>
      <c r="M226" s="12">
        <f>MAX(M225,K226)</f>
        <v/>
      </c>
      <c r="N226" s="13">
        <f>K226/M226-1</f>
        <v/>
      </c>
      <c r="O226" s="12">
        <f>Calculator!$B$4*B226</f>
        <v/>
      </c>
      <c r="P226" s="12">
        <f>Calculator!$B$4*C226</f>
        <v/>
      </c>
      <c r="Q226" s="12">
        <f>Calculator!$B$4*D226</f>
        <v/>
      </c>
      <c r="R226" s="12">
        <f>Calculator!$B$4*F226</f>
        <v/>
      </c>
    </row>
    <row r="227">
      <c r="A227" s="6">
        <f>Data!A227</f>
        <v/>
      </c>
      <c r="B227" s="16">
        <f>Data!C227/Data!$C$5</f>
        <v/>
      </c>
      <c r="C227" s="16">
        <f>Data!G227/Data!$G$5</f>
        <v/>
      </c>
      <c r="D227" s="16">
        <f>D226*(1+Data!I227/100)</f>
        <v/>
      </c>
      <c r="E227" s="16" t="n">
        <v>1</v>
      </c>
      <c r="F227" s="16">
        <f>F226*(1+Data!H227/100)^(1/12)</f>
        <v/>
      </c>
      <c r="G227" s="12">
        <f>Calculator!$B$4*Calculator!$B$5/100*B227</f>
        <v/>
      </c>
      <c r="H227" s="12">
        <f>Calculator!$B$4*Calculator!$B$6/100*C227</f>
        <v/>
      </c>
      <c r="I227" s="12">
        <f>Calculator!$B$4*Calculator!$B$7/100*D227</f>
        <v/>
      </c>
      <c r="J227" s="12">
        <f>Calculator!$B$4*Calculator!$B$8/100*E227</f>
        <v/>
      </c>
      <c r="K227" s="12">
        <f>SUM(G227:J227)</f>
        <v/>
      </c>
      <c r="L227" s="12">
        <f>K227/F227</f>
        <v/>
      </c>
      <c r="M227" s="12">
        <f>MAX(M226,K227)</f>
        <v/>
      </c>
      <c r="N227" s="13">
        <f>K227/M227-1</f>
        <v/>
      </c>
      <c r="O227" s="12">
        <f>Calculator!$B$4*B227</f>
        <v/>
      </c>
      <c r="P227" s="12">
        <f>Calculator!$B$4*C227</f>
        <v/>
      </c>
      <c r="Q227" s="12">
        <f>Calculator!$B$4*D227</f>
        <v/>
      </c>
      <c r="R227" s="12">
        <f>Calculator!$B$4*F227</f>
        <v/>
      </c>
    </row>
    <row r="228">
      <c r="A228" s="6">
        <f>Data!A228</f>
        <v/>
      </c>
      <c r="B228" s="16">
        <f>Data!C228/Data!$C$5</f>
        <v/>
      </c>
      <c r="C228" s="16">
        <f>Data!G228/Data!$G$5</f>
        <v/>
      </c>
      <c r="D228" s="16">
        <f>D227*(1+Data!I228/100)</f>
        <v/>
      </c>
      <c r="E228" s="16" t="n">
        <v>1</v>
      </c>
      <c r="F228" s="16">
        <f>F227*(1+Data!H228/100)^(1/12)</f>
        <v/>
      </c>
      <c r="G228" s="12">
        <f>Calculator!$B$4*Calculator!$B$5/100*B228</f>
        <v/>
      </c>
      <c r="H228" s="12">
        <f>Calculator!$B$4*Calculator!$B$6/100*C228</f>
        <v/>
      </c>
      <c r="I228" s="12">
        <f>Calculator!$B$4*Calculator!$B$7/100*D228</f>
        <v/>
      </c>
      <c r="J228" s="12">
        <f>Calculator!$B$4*Calculator!$B$8/100*E228</f>
        <v/>
      </c>
      <c r="K228" s="12">
        <f>SUM(G228:J228)</f>
        <v/>
      </c>
      <c r="L228" s="12">
        <f>K228/F228</f>
        <v/>
      </c>
      <c r="M228" s="12">
        <f>MAX(M227,K228)</f>
        <v/>
      </c>
      <c r="N228" s="13">
        <f>K228/M228-1</f>
        <v/>
      </c>
      <c r="O228" s="12">
        <f>Calculator!$B$4*B228</f>
        <v/>
      </c>
      <c r="P228" s="12">
        <f>Calculator!$B$4*C228</f>
        <v/>
      </c>
      <c r="Q228" s="12">
        <f>Calculator!$B$4*D228</f>
        <v/>
      </c>
      <c r="R228" s="12">
        <f>Calculator!$B$4*F228</f>
        <v/>
      </c>
    </row>
    <row r="229">
      <c r="A229" s="6">
        <f>Data!A229</f>
        <v/>
      </c>
      <c r="B229" s="16">
        <f>Data!C229/Data!$C$5</f>
        <v/>
      </c>
      <c r="C229" s="16">
        <f>Data!G229/Data!$G$5</f>
        <v/>
      </c>
      <c r="D229" s="16">
        <f>D228*(1+Data!I229/100)</f>
        <v/>
      </c>
      <c r="E229" s="16" t="n">
        <v>1</v>
      </c>
      <c r="F229" s="16">
        <f>F228*(1+Data!H229/100)^(1/12)</f>
        <v/>
      </c>
      <c r="G229" s="12">
        <f>Calculator!$B$4*Calculator!$B$5/100*B229</f>
        <v/>
      </c>
      <c r="H229" s="12">
        <f>Calculator!$B$4*Calculator!$B$6/100*C229</f>
        <v/>
      </c>
      <c r="I229" s="12">
        <f>Calculator!$B$4*Calculator!$B$7/100*D229</f>
        <v/>
      </c>
      <c r="J229" s="12">
        <f>Calculator!$B$4*Calculator!$B$8/100*E229</f>
        <v/>
      </c>
      <c r="K229" s="12">
        <f>SUM(G229:J229)</f>
        <v/>
      </c>
      <c r="L229" s="12">
        <f>K229/F229</f>
        <v/>
      </c>
      <c r="M229" s="12">
        <f>MAX(M228,K229)</f>
        <v/>
      </c>
      <c r="N229" s="13">
        <f>K229/M229-1</f>
        <v/>
      </c>
      <c r="O229" s="12">
        <f>Calculator!$B$4*B229</f>
        <v/>
      </c>
      <c r="P229" s="12">
        <f>Calculator!$B$4*C229</f>
        <v/>
      </c>
      <c r="Q229" s="12">
        <f>Calculator!$B$4*D229</f>
        <v/>
      </c>
      <c r="R229" s="12">
        <f>Calculator!$B$4*F229</f>
        <v/>
      </c>
    </row>
    <row r="230">
      <c r="A230" s="6">
        <f>Data!A230</f>
        <v/>
      </c>
      <c r="B230" s="16">
        <f>Data!C230/Data!$C$5</f>
        <v/>
      </c>
      <c r="C230" s="16">
        <f>Data!G230/Data!$G$5</f>
        <v/>
      </c>
      <c r="D230" s="16">
        <f>D229*(1+Data!I230/100)</f>
        <v/>
      </c>
      <c r="E230" s="16" t="n">
        <v>1</v>
      </c>
      <c r="F230" s="16">
        <f>F229*(1+Data!H230/100)^(1/12)</f>
        <v/>
      </c>
      <c r="G230" s="12">
        <f>Calculator!$B$4*Calculator!$B$5/100*B230</f>
        <v/>
      </c>
      <c r="H230" s="12">
        <f>Calculator!$B$4*Calculator!$B$6/100*C230</f>
        <v/>
      </c>
      <c r="I230" s="12">
        <f>Calculator!$B$4*Calculator!$B$7/100*D230</f>
        <v/>
      </c>
      <c r="J230" s="12">
        <f>Calculator!$B$4*Calculator!$B$8/100*E230</f>
        <v/>
      </c>
      <c r="K230" s="12">
        <f>SUM(G230:J230)</f>
        <v/>
      </c>
      <c r="L230" s="12">
        <f>K230/F230</f>
        <v/>
      </c>
      <c r="M230" s="12">
        <f>MAX(M229,K230)</f>
        <v/>
      </c>
      <c r="N230" s="13">
        <f>K230/M230-1</f>
        <v/>
      </c>
      <c r="O230" s="12">
        <f>Calculator!$B$4*B230</f>
        <v/>
      </c>
      <c r="P230" s="12">
        <f>Calculator!$B$4*C230</f>
        <v/>
      </c>
      <c r="Q230" s="12">
        <f>Calculator!$B$4*D230</f>
        <v/>
      </c>
      <c r="R230" s="12">
        <f>Calculator!$B$4*F230</f>
        <v/>
      </c>
    </row>
    <row r="231">
      <c r="A231" s="6">
        <f>Data!A231</f>
        <v/>
      </c>
      <c r="B231" s="16">
        <f>Data!C231/Data!$C$5</f>
        <v/>
      </c>
      <c r="C231" s="16">
        <f>Data!G231/Data!$G$5</f>
        <v/>
      </c>
      <c r="D231" s="16">
        <f>D230*(1+Data!I231/100)</f>
        <v/>
      </c>
      <c r="E231" s="16" t="n">
        <v>1</v>
      </c>
      <c r="F231" s="16">
        <f>F230*(1+Data!H231/100)^(1/12)</f>
        <v/>
      </c>
      <c r="G231" s="12">
        <f>Calculator!$B$4*Calculator!$B$5/100*B231</f>
        <v/>
      </c>
      <c r="H231" s="12">
        <f>Calculator!$B$4*Calculator!$B$6/100*C231</f>
        <v/>
      </c>
      <c r="I231" s="12">
        <f>Calculator!$B$4*Calculator!$B$7/100*D231</f>
        <v/>
      </c>
      <c r="J231" s="12">
        <f>Calculator!$B$4*Calculator!$B$8/100*E231</f>
        <v/>
      </c>
      <c r="K231" s="12">
        <f>SUM(G231:J231)</f>
        <v/>
      </c>
      <c r="L231" s="12">
        <f>K231/F231</f>
        <v/>
      </c>
      <c r="M231" s="12">
        <f>MAX(M230,K231)</f>
        <v/>
      </c>
      <c r="N231" s="13">
        <f>K231/M231-1</f>
        <v/>
      </c>
      <c r="O231" s="12">
        <f>Calculator!$B$4*B231</f>
        <v/>
      </c>
      <c r="P231" s="12">
        <f>Calculator!$B$4*C231</f>
        <v/>
      </c>
      <c r="Q231" s="12">
        <f>Calculator!$B$4*D231</f>
        <v/>
      </c>
      <c r="R231" s="12">
        <f>Calculator!$B$4*F231</f>
        <v/>
      </c>
    </row>
    <row r="232">
      <c r="A232" s="6">
        <f>Data!A232</f>
        <v/>
      </c>
      <c r="B232" s="16">
        <f>Data!C232/Data!$C$5</f>
        <v/>
      </c>
      <c r="C232" s="16">
        <f>Data!G232/Data!$G$5</f>
        <v/>
      </c>
      <c r="D232" s="16">
        <f>D231*(1+Data!I232/100)</f>
        <v/>
      </c>
      <c r="E232" s="16" t="n">
        <v>1</v>
      </c>
      <c r="F232" s="16">
        <f>F231*(1+Data!H232/100)^(1/12)</f>
        <v/>
      </c>
      <c r="G232" s="12">
        <f>Calculator!$B$4*Calculator!$B$5/100*B232</f>
        <v/>
      </c>
      <c r="H232" s="12">
        <f>Calculator!$B$4*Calculator!$B$6/100*C232</f>
        <v/>
      </c>
      <c r="I232" s="12">
        <f>Calculator!$B$4*Calculator!$B$7/100*D232</f>
        <v/>
      </c>
      <c r="J232" s="12">
        <f>Calculator!$B$4*Calculator!$B$8/100*E232</f>
        <v/>
      </c>
      <c r="K232" s="12">
        <f>SUM(G232:J232)</f>
        <v/>
      </c>
      <c r="L232" s="12">
        <f>K232/F232</f>
        <v/>
      </c>
      <c r="M232" s="12">
        <f>MAX(M231,K232)</f>
        <v/>
      </c>
      <c r="N232" s="13">
        <f>K232/M232-1</f>
        <v/>
      </c>
      <c r="O232" s="12">
        <f>Calculator!$B$4*B232</f>
        <v/>
      </c>
      <c r="P232" s="12">
        <f>Calculator!$B$4*C232</f>
        <v/>
      </c>
      <c r="Q232" s="12">
        <f>Calculator!$B$4*D232</f>
        <v/>
      </c>
      <c r="R232" s="12">
        <f>Calculator!$B$4*F232</f>
        <v/>
      </c>
    </row>
    <row r="233">
      <c r="A233" s="6">
        <f>Data!A233</f>
        <v/>
      </c>
      <c r="B233" s="16">
        <f>Data!C233/Data!$C$5</f>
        <v/>
      </c>
      <c r="C233" s="16">
        <f>Data!G233/Data!$G$5</f>
        <v/>
      </c>
      <c r="D233" s="16">
        <f>D232*(1+Data!I233/100)</f>
        <v/>
      </c>
      <c r="E233" s="16" t="n">
        <v>1</v>
      </c>
      <c r="F233" s="16">
        <f>F232*(1+Data!H233/100)^(1/12)</f>
        <v/>
      </c>
      <c r="G233" s="12">
        <f>Calculator!$B$4*Calculator!$B$5/100*B233</f>
        <v/>
      </c>
      <c r="H233" s="12">
        <f>Calculator!$B$4*Calculator!$B$6/100*C233</f>
        <v/>
      </c>
      <c r="I233" s="12">
        <f>Calculator!$B$4*Calculator!$B$7/100*D233</f>
        <v/>
      </c>
      <c r="J233" s="12">
        <f>Calculator!$B$4*Calculator!$B$8/100*E233</f>
        <v/>
      </c>
      <c r="K233" s="12">
        <f>SUM(G233:J233)</f>
        <v/>
      </c>
      <c r="L233" s="12">
        <f>K233/F233</f>
        <v/>
      </c>
      <c r="M233" s="12">
        <f>MAX(M232,K233)</f>
        <v/>
      </c>
      <c r="N233" s="13">
        <f>K233/M233-1</f>
        <v/>
      </c>
      <c r="O233" s="12">
        <f>Calculator!$B$4*B233</f>
        <v/>
      </c>
      <c r="P233" s="12">
        <f>Calculator!$B$4*C233</f>
        <v/>
      </c>
      <c r="Q233" s="12">
        <f>Calculator!$B$4*D233</f>
        <v/>
      </c>
      <c r="R233" s="12">
        <f>Calculator!$B$4*F233</f>
        <v/>
      </c>
    </row>
    <row r="234">
      <c r="A234" s="6">
        <f>Data!A234</f>
        <v/>
      </c>
      <c r="B234" s="16">
        <f>Data!C234/Data!$C$5</f>
        <v/>
      </c>
      <c r="C234" s="16">
        <f>Data!G234/Data!$G$5</f>
        <v/>
      </c>
      <c r="D234" s="16">
        <f>D233*(1+Data!I234/100)</f>
        <v/>
      </c>
      <c r="E234" s="16" t="n">
        <v>1</v>
      </c>
      <c r="F234" s="16">
        <f>F233*(1+Data!H234/100)^(1/12)</f>
        <v/>
      </c>
      <c r="G234" s="12">
        <f>Calculator!$B$4*Calculator!$B$5/100*B234</f>
        <v/>
      </c>
      <c r="H234" s="12">
        <f>Calculator!$B$4*Calculator!$B$6/100*C234</f>
        <v/>
      </c>
      <c r="I234" s="12">
        <f>Calculator!$B$4*Calculator!$B$7/100*D234</f>
        <v/>
      </c>
      <c r="J234" s="12">
        <f>Calculator!$B$4*Calculator!$B$8/100*E234</f>
        <v/>
      </c>
      <c r="K234" s="12">
        <f>SUM(G234:J234)</f>
        <v/>
      </c>
      <c r="L234" s="12">
        <f>K234/F234</f>
        <v/>
      </c>
      <c r="M234" s="12">
        <f>MAX(M233,K234)</f>
        <v/>
      </c>
      <c r="N234" s="13">
        <f>K234/M234-1</f>
        <v/>
      </c>
      <c r="O234" s="12">
        <f>Calculator!$B$4*B234</f>
        <v/>
      </c>
      <c r="P234" s="12">
        <f>Calculator!$B$4*C234</f>
        <v/>
      </c>
      <c r="Q234" s="12">
        <f>Calculator!$B$4*D234</f>
        <v/>
      </c>
      <c r="R234" s="12">
        <f>Calculator!$B$4*F234</f>
        <v/>
      </c>
    </row>
    <row r="235">
      <c r="A235" s="6">
        <f>Data!A235</f>
        <v/>
      </c>
      <c r="B235" s="16">
        <f>Data!C235/Data!$C$5</f>
        <v/>
      </c>
      <c r="C235" s="16">
        <f>Data!G235/Data!$G$5</f>
        <v/>
      </c>
      <c r="D235" s="16">
        <f>D234*(1+Data!I235/100)</f>
        <v/>
      </c>
      <c r="E235" s="16" t="n">
        <v>1</v>
      </c>
      <c r="F235" s="16">
        <f>F234*(1+Data!H235/100)^(1/12)</f>
        <v/>
      </c>
      <c r="G235" s="12">
        <f>Calculator!$B$4*Calculator!$B$5/100*B235</f>
        <v/>
      </c>
      <c r="H235" s="12">
        <f>Calculator!$B$4*Calculator!$B$6/100*C235</f>
        <v/>
      </c>
      <c r="I235" s="12">
        <f>Calculator!$B$4*Calculator!$B$7/100*D235</f>
        <v/>
      </c>
      <c r="J235" s="12">
        <f>Calculator!$B$4*Calculator!$B$8/100*E235</f>
        <v/>
      </c>
      <c r="K235" s="12">
        <f>SUM(G235:J235)</f>
        <v/>
      </c>
      <c r="L235" s="12">
        <f>K235/F235</f>
        <v/>
      </c>
      <c r="M235" s="12">
        <f>MAX(M234,K235)</f>
        <v/>
      </c>
      <c r="N235" s="13">
        <f>K235/M235-1</f>
        <v/>
      </c>
      <c r="O235" s="12">
        <f>Calculator!$B$4*B235</f>
        <v/>
      </c>
      <c r="P235" s="12">
        <f>Calculator!$B$4*C235</f>
        <v/>
      </c>
      <c r="Q235" s="12">
        <f>Calculator!$B$4*D235</f>
        <v/>
      </c>
      <c r="R235" s="12">
        <f>Calculator!$B$4*F235</f>
        <v/>
      </c>
    </row>
    <row r="236">
      <c r="A236" s="6">
        <f>Data!A236</f>
        <v/>
      </c>
      <c r="B236" s="16">
        <f>Data!C236/Data!$C$5</f>
        <v/>
      </c>
      <c r="C236" s="16">
        <f>Data!G236/Data!$G$5</f>
        <v/>
      </c>
      <c r="D236" s="16">
        <f>D235*(1+Data!I236/100)</f>
        <v/>
      </c>
      <c r="E236" s="16" t="n">
        <v>1</v>
      </c>
      <c r="F236" s="16">
        <f>F235*(1+Data!H236/100)^(1/12)</f>
        <v/>
      </c>
      <c r="G236" s="12">
        <f>Calculator!$B$4*Calculator!$B$5/100*B236</f>
        <v/>
      </c>
      <c r="H236" s="12">
        <f>Calculator!$B$4*Calculator!$B$6/100*C236</f>
        <v/>
      </c>
      <c r="I236" s="12">
        <f>Calculator!$B$4*Calculator!$B$7/100*D236</f>
        <v/>
      </c>
      <c r="J236" s="12">
        <f>Calculator!$B$4*Calculator!$B$8/100*E236</f>
        <v/>
      </c>
      <c r="K236" s="12">
        <f>SUM(G236:J236)</f>
        <v/>
      </c>
      <c r="L236" s="12">
        <f>K236/F236</f>
        <v/>
      </c>
      <c r="M236" s="12">
        <f>MAX(M235,K236)</f>
        <v/>
      </c>
      <c r="N236" s="13">
        <f>K236/M236-1</f>
        <v/>
      </c>
      <c r="O236" s="12">
        <f>Calculator!$B$4*B236</f>
        <v/>
      </c>
      <c r="P236" s="12">
        <f>Calculator!$B$4*C236</f>
        <v/>
      </c>
      <c r="Q236" s="12">
        <f>Calculator!$B$4*D236</f>
        <v/>
      </c>
      <c r="R236" s="12">
        <f>Calculator!$B$4*F236</f>
        <v/>
      </c>
    </row>
    <row r="237">
      <c r="A237" s="6">
        <f>Data!A237</f>
        <v/>
      </c>
      <c r="B237" s="16">
        <f>Data!C237/Data!$C$5</f>
        <v/>
      </c>
      <c r="C237" s="16">
        <f>Data!G237/Data!$G$5</f>
        <v/>
      </c>
      <c r="D237" s="16">
        <f>D236*(1+Data!I237/100)</f>
        <v/>
      </c>
      <c r="E237" s="16" t="n">
        <v>1</v>
      </c>
      <c r="F237" s="16">
        <f>F236*(1+Data!H237/100)^(1/12)</f>
        <v/>
      </c>
      <c r="G237" s="12">
        <f>Calculator!$B$4*Calculator!$B$5/100*B237</f>
        <v/>
      </c>
      <c r="H237" s="12">
        <f>Calculator!$B$4*Calculator!$B$6/100*C237</f>
        <v/>
      </c>
      <c r="I237" s="12">
        <f>Calculator!$B$4*Calculator!$B$7/100*D237</f>
        <v/>
      </c>
      <c r="J237" s="12">
        <f>Calculator!$B$4*Calculator!$B$8/100*E237</f>
        <v/>
      </c>
      <c r="K237" s="12">
        <f>SUM(G237:J237)</f>
        <v/>
      </c>
      <c r="L237" s="12">
        <f>K237/F237</f>
        <v/>
      </c>
      <c r="M237" s="12">
        <f>MAX(M236,K237)</f>
        <v/>
      </c>
      <c r="N237" s="13">
        <f>K237/M237-1</f>
        <v/>
      </c>
      <c r="O237" s="12">
        <f>Calculator!$B$4*B237</f>
        <v/>
      </c>
      <c r="P237" s="12">
        <f>Calculator!$B$4*C237</f>
        <v/>
      </c>
      <c r="Q237" s="12">
        <f>Calculator!$B$4*D237</f>
        <v/>
      </c>
      <c r="R237" s="12">
        <f>Calculator!$B$4*F237</f>
        <v/>
      </c>
    </row>
    <row r="238">
      <c r="A238" s="6">
        <f>Data!A238</f>
        <v/>
      </c>
      <c r="B238" s="16">
        <f>Data!C238/Data!$C$5</f>
        <v/>
      </c>
      <c r="C238" s="16">
        <f>Data!G238/Data!$G$5</f>
        <v/>
      </c>
      <c r="D238" s="16">
        <f>D237*(1+Data!I238/100)</f>
        <v/>
      </c>
      <c r="E238" s="16" t="n">
        <v>1</v>
      </c>
      <c r="F238" s="16">
        <f>F237*(1+Data!H238/100)^(1/12)</f>
        <v/>
      </c>
      <c r="G238" s="12">
        <f>Calculator!$B$4*Calculator!$B$5/100*B238</f>
        <v/>
      </c>
      <c r="H238" s="12">
        <f>Calculator!$B$4*Calculator!$B$6/100*C238</f>
        <v/>
      </c>
      <c r="I238" s="12">
        <f>Calculator!$B$4*Calculator!$B$7/100*D238</f>
        <v/>
      </c>
      <c r="J238" s="12">
        <f>Calculator!$B$4*Calculator!$B$8/100*E238</f>
        <v/>
      </c>
      <c r="K238" s="12">
        <f>SUM(G238:J238)</f>
        <v/>
      </c>
      <c r="L238" s="12">
        <f>K238/F238</f>
        <v/>
      </c>
      <c r="M238" s="12">
        <f>MAX(M237,K238)</f>
        <v/>
      </c>
      <c r="N238" s="13">
        <f>K238/M238-1</f>
        <v/>
      </c>
      <c r="O238" s="12">
        <f>Calculator!$B$4*B238</f>
        <v/>
      </c>
      <c r="P238" s="12">
        <f>Calculator!$B$4*C238</f>
        <v/>
      </c>
      <c r="Q238" s="12">
        <f>Calculator!$B$4*D238</f>
        <v/>
      </c>
      <c r="R238" s="12">
        <f>Calculator!$B$4*F238</f>
        <v/>
      </c>
    </row>
    <row r="239">
      <c r="A239" s="6">
        <f>Data!A239</f>
        <v/>
      </c>
      <c r="B239" s="16">
        <f>Data!C239/Data!$C$5</f>
        <v/>
      </c>
      <c r="C239" s="16">
        <f>Data!G239/Data!$G$5</f>
        <v/>
      </c>
      <c r="D239" s="16">
        <f>D238*(1+Data!I239/100)</f>
        <v/>
      </c>
      <c r="E239" s="16" t="n">
        <v>1</v>
      </c>
      <c r="F239" s="16">
        <f>F238*(1+Data!H239/100)^(1/12)</f>
        <v/>
      </c>
      <c r="G239" s="12">
        <f>Calculator!$B$4*Calculator!$B$5/100*B239</f>
        <v/>
      </c>
      <c r="H239" s="12">
        <f>Calculator!$B$4*Calculator!$B$6/100*C239</f>
        <v/>
      </c>
      <c r="I239" s="12">
        <f>Calculator!$B$4*Calculator!$B$7/100*D239</f>
        <v/>
      </c>
      <c r="J239" s="12">
        <f>Calculator!$B$4*Calculator!$B$8/100*E239</f>
        <v/>
      </c>
      <c r="K239" s="12">
        <f>SUM(G239:J239)</f>
        <v/>
      </c>
      <c r="L239" s="12">
        <f>K239/F239</f>
        <v/>
      </c>
      <c r="M239" s="12">
        <f>MAX(M238,K239)</f>
        <v/>
      </c>
      <c r="N239" s="13">
        <f>K239/M239-1</f>
        <v/>
      </c>
      <c r="O239" s="12">
        <f>Calculator!$B$4*B239</f>
        <v/>
      </c>
      <c r="P239" s="12">
        <f>Calculator!$B$4*C239</f>
        <v/>
      </c>
      <c r="Q239" s="12">
        <f>Calculator!$B$4*D239</f>
        <v/>
      </c>
      <c r="R239" s="12">
        <f>Calculator!$B$4*F239</f>
        <v/>
      </c>
    </row>
    <row r="240">
      <c r="A240" s="6">
        <f>Data!A240</f>
        <v/>
      </c>
      <c r="B240" s="16">
        <f>Data!C240/Data!$C$5</f>
        <v/>
      </c>
      <c r="C240" s="16">
        <f>Data!G240/Data!$G$5</f>
        <v/>
      </c>
      <c r="D240" s="16">
        <f>D239*(1+Data!I240/100)</f>
        <v/>
      </c>
      <c r="E240" s="16" t="n">
        <v>1</v>
      </c>
      <c r="F240" s="16">
        <f>F239*(1+Data!H240/100)^(1/12)</f>
        <v/>
      </c>
      <c r="G240" s="12">
        <f>Calculator!$B$4*Calculator!$B$5/100*B240</f>
        <v/>
      </c>
      <c r="H240" s="12">
        <f>Calculator!$B$4*Calculator!$B$6/100*C240</f>
        <v/>
      </c>
      <c r="I240" s="12">
        <f>Calculator!$B$4*Calculator!$B$7/100*D240</f>
        <v/>
      </c>
      <c r="J240" s="12">
        <f>Calculator!$B$4*Calculator!$B$8/100*E240</f>
        <v/>
      </c>
      <c r="K240" s="12">
        <f>SUM(G240:J240)</f>
        <v/>
      </c>
      <c r="L240" s="12">
        <f>K240/F240</f>
        <v/>
      </c>
      <c r="M240" s="12">
        <f>MAX(M239,K240)</f>
        <v/>
      </c>
      <c r="N240" s="13">
        <f>K240/M240-1</f>
        <v/>
      </c>
      <c r="O240" s="12">
        <f>Calculator!$B$4*B240</f>
        <v/>
      </c>
      <c r="P240" s="12">
        <f>Calculator!$B$4*C240</f>
        <v/>
      </c>
      <c r="Q240" s="12">
        <f>Calculator!$B$4*D240</f>
        <v/>
      </c>
      <c r="R240" s="12">
        <f>Calculator!$B$4*F240</f>
        <v/>
      </c>
    </row>
    <row r="241">
      <c r="A241" s="6">
        <f>Data!A241</f>
        <v/>
      </c>
      <c r="B241" s="16">
        <f>Data!C241/Data!$C$5</f>
        <v/>
      </c>
      <c r="C241" s="16">
        <f>Data!G241/Data!$G$5</f>
        <v/>
      </c>
      <c r="D241" s="16">
        <f>D240*(1+Data!I241/100)</f>
        <v/>
      </c>
      <c r="E241" s="16" t="n">
        <v>1</v>
      </c>
      <c r="F241" s="16">
        <f>F240*(1+Data!H241/100)^(1/12)</f>
        <v/>
      </c>
      <c r="G241" s="12">
        <f>Calculator!$B$4*Calculator!$B$5/100*B241</f>
        <v/>
      </c>
      <c r="H241" s="12">
        <f>Calculator!$B$4*Calculator!$B$6/100*C241</f>
        <v/>
      </c>
      <c r="I241" s="12">
        <f>Calculator!$B$4*Calculator!$B$7/100*D241</f>
        <v/>
      </c>
      <c r="J241" s="12">
        <f>Calculator!$B$4*Calculator!$B$8/100*E241</f>
        <v/>
      </c>
      <c r="K241" s="12">
        <f>SUM(G241:J241)</f>
        <v/>
      </c>
      <c r="L241" s="12">
        <f>K241/F241</f>
        <v/>
      </c>
      <c r="M241" s="12">
        <f>MAX(M240,K241)</f>
        <v/>
      </c>
      <c r="N241" s="13">
        <f>K241/M241-1</f>
        <v/>
      </c>
      <c r="O241" s="12">
        <f>Calculator!$B$4*B241</f>
        <v/>
      </c>
      <c r="P241" s="12">
        <f>Calculator!$B$4*C241</f>
        <v/>
      </c>
      <c r="Q241" s="12">
        <f>Calculator!$B$4*D241</f>
        <v/>
      </c>
      <c r="R241" s="12">
        <f>Calculator!$B$4*F241</f>
        <v/>
      </c>
    </row>
    <row r="242">
      <c r="A242" s="6">
        <f>Data!A242</f>
        <v/>
      </c>
      <c r="B242" s="16">
        <f>Data!C242/Data!$C$5</f>
        <v/>
      </c>
      <c r="C242" s="16">
        <f>Data!G242/Data!$G$5</f>
        <v/>
      </c>
      <c r="D242" s="16">
        <f>D241*(1+Data!I242/100)</f>
        <v/>
      </c>
      <c r="E242" s="16" t="n">
        <v>1</v>
      </c>
      <c r="F242" s="16">
        <f>F241*(1+Data!H242/100)^(1/12)</f>
        <v/>
      </c>
      <c r="G242" s="12">
        <f>Calculator!$B$4*Calculator!$B$5/100*B242</f>
        <v/>
      </c>
      <c r="H242" s="12">
        <f>Calculator!$B$4*Calculator!$B$6/100*C242</f>
        <v/>
      </c>
      <c r="I242" s="12">
        <f>Calculator!$B$4*Calculator!$B$7/100*D242</f>
        <v/>
      </c>
      <c r="J242" s="12">
        <f>Calculator!$B$4*Calculator!$B$8/100*E242</f>
        <v/>
      </c>
      <c r="K242" s="12">
        <f>SUM(G242:J242)</f>
        <v/>
      </c>
      <c r="L242" s="12">
        <f>K242/F242</f>
        <v/>
      </c>
      <c r="M242" s="12">
        <f>MAX(M241,K242)</f>
        <v/>
      </c>
      <c r="N242" s="13">
        <f>K242/M242-1</f>
        <v/>
      </c>
      <c r="O242" s="12">
        <f>Calculator!$B$4*B242</f>
        <v/>
      </c>
      <c r="P242" s="12">
        <f>Calculator!$B$4*C242</f>
        <v/>
      </c>
      <c r="Q242" s="12">
        <f>Calculator!$B$4*D242</f>
        <v/>
      </c>
      <c r="R242" s="12">
        <f>Calculator!$B$4*F242</f>
        <v/>
      </c>
    </row>
    <row r="243">
      <c r="A243" s="6">
        <f>Data!A243</f>
        <v/>
      </c>
      <c r="B243" s="16">
        <f>Data!C243/Data!$C$5</f>
        <v/>
      </c>
      <c r="C243" s="16">
        <f>Data!G243/Data!$G$5</f>
        <v/>
      </c>
      <c r="D243" s="16">
        <f>D242*(1+Data!I243/100)</f>
        <v/>
      </c>
      <c r="E243" s="16" t="n">
        <v>1</v>
      </c>
      <c r="F243" s="16">
        <f>F242*(1+Data!H243/100)^(1/12)</f>
        <v/>
      </c>
      <c r="G243" s="12">
        <f>Calculator!$B$4*Calculator!$B$5/100*B243</f>
        <v/>
      </c>
      <c r="H243" s="12">
        <f>Calculator!$B$4*Calculator!$B$6/100*C243</f>
        <v/>
      </c>
      <c r="I243" s="12">
        <f>Calculator!$B$4*Calculator!$B$7/100*D243</f>
        <v/>
      </c>
      <c r="J243" s="12">
        <f>Calculator!$B$4*Calculator!$B$8/100*E243</f>
        <v/>
      </c>
      <c r="K243" s="12">
        <f>SUM(G243:J243)</f>
        <v/>
      </c>
      <c r="L243" s="12">
        <f>K243/F243</f>
        <v/>
      </c>
      <c r="M243" s="12">
        <f>MAX(M242,K243)</f>
        <v/>
      </c>
      <c r="N243" s="13">
        <f>K243/M243-1</f>
        <v/>
      </c>
      <c r="O243" s="12">
        <f>Calculator!$B$4*B243</f>
        <v/>
      </c>
      <c r="P243" s="12">
        <f>Calculator!$B$4*C243</f>
        <v/>
      </c>
      <c r="Q243" s="12">
        <f>Calculator!$B$4*D243</f>
        <v/>
      </c>
      <c r="R243" s="12">
        <f>Calculator!$B$4*F243</f>
        <v/>
      </c>
    </row>
    <row r="244">
      <c r="A244" s="6">
        <f>Data!A244</f>
        <v/>
      </c>
      <c r="B244" s="16">
        <f>Data!C244/Data!$C$5</f>
        <v/>
      </c>
      <c r="C244" s="16">
        <f>Data!G244/Data!$G$5</f>
        <v/>
      </c>
      <c r="D244" s="16">
        <f>D243*(1+Data!I244/100)</f>
        <v/>
      </c>
      <c r="E244" s="16" t="n">
        <v>1</v>
      </c>
      <c r="F244" s="16">
        <f>F243*(1+Data!H244/100)^(1/12)</f>
        <v/>
      </c>
      <c r="G244" s="12">
        <f>Calculator!$B$4*Calculator!$B$5/100*B244</f>
        <v/>
      </c>
      <c r="H244" s="12">
        <f>Calculator!$B$4*Calculator!$B$6/100*C244</f>
        <v/>
      </c>
      <c r="I244" s="12">
        <f>Calculator!$B$4*Calculator!$B$7/100*D244</f>
        <v/>
      </c>
      <c r="J244" s="12">
        <f>Calculator!$B$4*Calculator!$B$8/100*E244</f>
        <v/>
      </c>
      <c r="K244" s="12">
        <f>SUM(G244:J244)</f>
        <v/>
      </c>
      <c r="L244" s="12">
        <f>K244/F244</f>
        <v/>
      </c>
      <c r="M244" s="12">
        <f>MAX(M243,K244)</f>
        <v/>
      </c>
      <c r="N244" s="13">
        <f>K244/M244-1</f>
        <v/>
      </c>
      <c r="O244" s="12">
        <f>Calculator!$B$4*B244</f>
        <v/>
      </c>
      <c r="P244" s="12">
        <f>Calculator!$B$4*C244</f>
        <v/>
      </c>
      <c r="Q244" s="12">
        <f>Calculator!$B$4*D244</f>
        <v/>
      </c>
      <c r="R244" s="12">
        <f>Calculator!$B$4*F244</f>
        <v/>
      </c>
    </row>
    <row r="245">
      <c r="A245" s="6">
        <f>Data!A245</f>
        <v/>
      </c>
      <c r="B245" s="16">
        <f>Data!C245/Data!$C$5</f>
        <v/>
      </c>
      <c r="C245" s="16">
        <f>Data!G245/Data!$G$5</f>
        <v/>
      </c>
      <c r="D245" s="16">
        <f>D244*(1+Data!I245/100)</f>
        <v/>
      </c>
      <c r="E245" s="16" t="n">
        <v>1</v>
      </c>
      <c r="F245" s="16">
        <f>F244*(1+Data!H245/100)^(1/12)</f>
        <v/>
      </c>
      <c r="G245" s="12">
        <f>Calculator!$B$4*Calculator!$B$5/100*B245</f>
        <v/>
      </c>
      <c r="H245" s="12">
        <f>Calculator!$B$4*Calculator!$B$6/100*C245</f>
        <v/>
      </c>
      <c r="I245" s="12">
        <f>Calculator!$B$4*Calculator!$B$7/100*D245</f>
        <v/>
      </c>
      <c r="J245" s="12">
        <f>Calculator!$B$4*Calculator!$B$8/100*E245</f>
        <v/>
      </c>
      <c r="K245" s="12">
        <f>SUM(G245:J245)</f>
        <v/>
      </c>
      <c r="L245" s="12">
        <f>K245/F245</f>
        <v/>
      </c>
      <c r="M245" s="12">
        <f>MAX(M244,K245)</f>
        <v/>
      </c>
      <c r="N245" s="13">
        <f>K245/M245-1</f>
        <v/>
      </c>
      <c r="O245" s="12">
        <f>Calculator!$B$4*B245</f>
        <v/>
      </c>
      <c r="P245" s="12">
        <f>Calculator!$B$4*C245</f>
        <v/>
      </c>
      <c r="Q245" s="12">
        <f>Calculator!$B$4*D245</f>
        <v/>
      </c>
      <c r="R245" s="12">
        <f>Calculator!$B$4*F245</f>
        <v/>
      </c>
    </row>
    <row r="246">
      <c r="A246" s="6">
        <f>Data!A246</f>
        <v/>
      </c>
      <c r="B246" s="16">
        <f>Data!C246/Data!$C$5</f>
        <v/>
      </c>
      <c r="C246" s="16">
        <f>Data!G246/Data!$G$5</f>
        <v/>
      </c>
      <c r="D246" s="16">
        <f>D245*(1+Data!I246/100)</f>
        <v/>
      </c>
      <c r="E246" s="16" t="n">
        <v>1</v>
      </c>
      <c r="F246" s="16">
        <f>F245*(1+Data!H246/100)^(1/12)</f>
        <v/>
      </c>
      <c r="G246" s="12">
        <f>Calculator!$B$4*Calculator!$B$5/100*B246</f>
        <v/>
      </c>
      <c r="H246" s="12">
        <f>Calculator!$B$4*Calculator!$B$6/100*C246</f>
        <v/>
      </c>
      <c r="I246" s="12">
        <f>Calculator!$B$4*Calculator!$B$7/100*D246</f>
        <v/>
      </c>
      <c r="J246" s="12">
        <f>Calculator!$B$4*Calculator!$B$8/100*E246</f>
        <v/>
      </c>
      <c r="K246" s="12">
        <f>SUM(G246:J246)</f>
        <v/>
      </c>
      <c r="L246" s="12">
        <f>K246/F246</f>
        <v/>
      </c>
      <c r="M246" s="12">
        <f>MAX(M245,K246)</f>
        <v/>
      </c>
      <c r="N246" s="13">
        <f>K246/M246-1</f>
        <v/>
      </c>
      <c r="O246" s="12">
        <f>Calculator!$B$4*B246</f>
        <v/>
      </c>
      <c r="P246" s="12">
        <f>Calculator!$B$4*C246</f>
        <v/>
      </c>
      <c r="Q246" s="12">
        <f>Calculator!$B$4*D246</f>
        <v/>
      </c>
      <c r="R246" s="12">
        <f>Calculator!$B$4*F246</f>
        <v/>
      </c>
    </row>
    <row r="247">
      <c r="A247" s="6">
        <f>Data!A247</f>
        <v/>
      </c>
      <c r="B247" s="16">
        <f>Data!C247/Data!$C$5</f>
        <v/>
      </c>
      <c r="C247" s="16">
        <f>Data!G247/Data!$G$5</f>
        <v/>
      </c>
      <c r="D247" s="16">
        <f>D246*(1+Data!I247/100)</f>
        <v/>
      </c>
      <c r="E247" s="16" t="n">
        <v>1</v>
      </c>
      <c r="F247" s="16">
        <f>F246*(1+Data!H247/100)^(1/12)</f>
        <v/>
      </c>
      <c r="G247" s="12">
        <f>Calculator!$B$4*Calculator!$B$5/100*B247</f>
        <v/>
      </c>
      <c r="H247" s="12">
        <f>Calculator!$B$4*Calculator!$B$6/100*C247</f>
        <v/>
      </c>
      <c r="I247" s="12">
        <f>Calculator!$B$4*Calculator!$B$7/100*D247</f>
        <v/>
      </c>
      <c r="J247" s="12">
        <f>Calculator!$B$4*Calculator!$B$8/100*E247</f>
        <v/>
      </c>
      <c r="K247" s="12">
        <f>SUM(G247:J247)</f>
        <v/>
      </c>
      <c r="L247" s="12">
        <f>K247/F247</f>
        <v/>
      </c>
      <c r="M247" s="12">
        <f>MAX(M246,K247)</f>
        <v/>
      </c>
      <c r="N247" s="13">
        <f>K247/M247-1</f>
        <v/>
      </c>
      <c r="O247" s="12">
        <f>Calculator!$B$4*B247</f>
        <v/>
      </c>
      <c r="P247" s="12">
        <f>Calculator!$B$4*C247</f>
        <v/>
      </c>
      <c r="Q247" s="12">
        <f>Calculator!$B$4*D247</f>
        <v/>
      </c>
      <c r="R247" s="12">
        <f>Calculator!$B$4*F247</f>
        <v/>
      </c>
    </row>
    <row r="248">
      <c r="A248" s="6">
        <f>Data!A248</f>
        <v/>
      </c>
      <c r="B248" s="16">
        <f>Data!C248/Data!$C$5</f>
        <v/>
      </c>
      <c r="C248" s="16">
        <f>Data!G248/Data!$G$5</f>
        <v/>
      </c>
      <c r="D248" s="16">
        <f>D247*(1+Data!I248/100)</f>
        <v/>
      </c>
      <c r="E248" s="16" t="n">
        <v>1</v>
      </c>
      <c r="F248" s="16">
        <f>F247*(1+Data!H248/100)^(1/12)</f>
        <v/>
      </c>
      <c r="G248" s="12">
        <f>Calculator!$B$4*Calculator!$B$5/100*B248</f>
        <v/>
      </c>
      <c r="H248" s="12">
        <f>Calculator!$B$4*Calculator!$B$6/100*C248</f>
        <v/>
      </c>
      <c r="I248" s="12">
        <f>Calculator!$B$4*Calculator!$B$7/100*D248</f>
        <v/>
      </c>
      <c r="J248" s="12">
        <f>Calculator!$B$4*Calculator!$B$8/100*E248</f>
        <v/>
      </c>
      <c r="K248" s="12">
        <f>SUM(G248:J248)</f>
        <v/>
      </c>
      <c r="L248" s="12">
        <f>K248/F248</f>
        <v/>
      </c>
      <c r="M248" s="12">
        <f>MAX(M247,K248)</f>
        <v/>
      </c>
      <c r="N248" s="13">
        <f>K248/M248-1</f>
        <v/>
      </c>
      <c r="O248" s="12">
        <f>Calculator!$B$4*B248</f>
        <v/>
      </c>
      <c r="P248" s="12">
        <f>Calculator!$B$4*C248</f>
        <v/>
      </c>
      <c r="Q248" s="12">
        <f>Calculator!$B$4*D248</f>
        <v/>
      </c>
      <c r="R248" s="12">
        <f>Calculator!$B$4*F248</f>
        <v/>
      </c>
    </row>
    <row r="249">
      <c r="A249" s="6">
        <f>Data!A249</f>
        <v/>
      </c>
      <c r="B249" s="16">
        <f>Data!C249/Data!$C$5</f>
        <v/>
      </c>
      <c r="C249" s="16">
        <f>Data!G249/Data!$G$5</f>
        <v/>
      </c>
      <c r="D249" s="16">
        <f>D248*(1+Data!I249/100)</f>
        <v/>
      </c>
      <c r="E249" s="16" t="n">
        <v>1</v>
      </c>
      <c r="F249" s="16">
        <f>F248*(1+Data!H249/100)^(1/12)</f>
        <v/>
      </c>
      <c r="G249" s="12">
        <f>Calculator!$B$4*Calculator!$B$5/100*B249</f>
        <v/>
      </c>
      <c r="H249" s="12">
        <f>Calculator!$B$4*Calculator!$B$6/100*C249</f>
        <v/>
      </c>
      <c r="I249" s="12">
        <f>Calculator!$B$4*Calculator!$B$7/100*D249</f>
        <v/>
      </c>
      <c r="J249" s="12">
        <f>Calculator!$B$4*Calculator!$B$8/100*E249</f>
        <v/>
      </c>
      <c r="K249" s="12">
        <f>SUM(G249:J249)</f>
        <v/>
      </c>
      <c r="L249" s="12">
        <f>K249/F249</f>
        <v/>
      </c>
      <c r="M249" s="12">
        <f>MAX(M248,K249)</f>
        <v/>
      </c>
      <c r="N249" s="13">
        <f>K249/M249-1</f>
        <v/>
      </c>
      <c r="O249" s="12">
        <f>Calculator!$B$4*B249</f>
        <v/>
      </c>
      <c r="P249" s="12">
        <f>Calculator!$B$4*C249</f>
        <v/>
      </c>
      <c r="Q249" s="12">
        <f>Calculator!$B$4*D249</f>
        <v/>
      </c>
      <c r="R249" s="12">
        <f>Calculator!$B$4*F249</f>
        <v/>
      </c>
    </row>
    <row r="250">
      <c r="A250" s="6">
        <f>Data!A250</f>
        <v/>
      </c>
      <c r="B250" s="16">
        <f>Data!C250/Data!$C$5</f>
        <v/>
      </c>
      <c r="C250" s="16">
        <f>Data!G250/Data!$G$5</f>
        <v/>
      </c>
      <c r="D250" s="16">
        <f>D249*(1+Data!I250/100)</f>
        <v/>
      </c>
      <c r="E250" s="16" t="n">
        <v>1</v>
      </c>
      <c r="F250" s="16">
        <f>F249*(1+Data!H250/100)^(1/12)</f>
        <v/>
      </c>
      <c r="G250" s="12">
        <f>Calculator!$B$4*Calculator!$B$5/100*B250</f>
        <v/>
      </c>
      <c r="H250" s="12">
        <f>Calculator!$B$4*Calculator!$B$6/100*C250</f>
        <v/>
      </c>
      <c r="I250" s="12">
        <f>Calculator!$B$4*Calculator!$B$7/100*D250</f>
        <v/>
      </c>
      <c r="J250" s="12">
        <f>Calculator!$B$4*Calculator!$B$8/100*E250</f>
        <v/>
      </c>
      <c r="K250" s="12">
        <f>SUM(G250:J250)</f>
        <v/>
      </c>
      <c r="L250" s="12">
        <f>K250/F250</f>
        <v/>
      </c>
      <c r="M250" s="12">
        <f>MAX(M249,K250)</f>
        <v/>
      </c>
      <c r="N250" s="13">
        <f>K250/M250-1</f>
        <v/>
      </c>
      <c r="O250" s="12">
        <f>Calculator!$B$4*B250</f>
        <v/>
      </c>
      <c r="P250" s="12">
        <f>Calculator!$B$4*C250</f>
        <v/>
      </c>
      <c r="Q250" s="12">
        <f>Calculator!$B$4*D250</f>
        <v/>
      </c>
      <c r="R250" s="12">
        <f>Calculator!$B$4*F250</f>
        <v/>
      </c>
    </row>
    <row r="251">
      <c r="A251" s="6">
        <f>Data!A251</f>
        <v/>
      </c>
      <c r="B251" s="16">
        <f>Data!C251/Data!$C$5</f>
        <v/>
      </c>
      <c r="C251" s="16">
        <f>Data!G251/Data!$G$5</f>
        <v/>
      </c>
      <c r="D251" s="16">
        <f>D250*(1+Data!I251/100)</f>
        <v/>
      </c>
      <c r="E251" s="16" t="n">
        <v>1</v>
      </c>
      <c r="F251" s="16">
        <f>F250*(1+Data!H251/100)^(1/12)</f>
        <v/>
      </c>
      <c r="G251" s="12">
        <f>Calculator!$B$4*Calculator!$B$5/100*B251</f>
        <v/>
      </c>
      <c r="H251" s="12">
        <f>Calculator!$B$4*Calculator!$B$6/100*C251</f>
        <v/>
      </c>
      <c r="I251" s="12">
        <f>Calculator!$B$4*Calculator!$B$7/100*D251</f>
        <v/>
      </c>
      <c r="J251" s="12">
        <f>Calculator!$B$4*Calculator!$B$8/100*E251</f>
        <v/>
      </c>
      <c r="K251" s="12">
        <f>SUM(G251:J251)</f>
        <v/>
      </c>
      <c r="L251" s="12">
        <f>K251/F251</f>
        <v/>
      </c>
      <c r="M251" s="12">
        <f>MAX(M250,K251)</f>
        <v/>
      </c>
      <c r="N251" s="13">
        <f>K251/M251-1</f>
        <v/>
      </c>
      <c r="O251" s="12">
        <f>Calculator!$B$4*B251</f>
        <v/>
      </c>
      <c r="P251" s="12">
        <f>Calculator!$B$4*C251</f>
        <v/>
      </c>
      <c r="Q251" s="12">
        <f>Calculator!$B$4*D251</f>
        <v/>
      </c>
      <c r="R251" s="12">
        <f>Calculator!$B$4*F251</f>
        <v/>
      </c>
    </row>
    <row r="252">
      <c r="A252" s="6">
        <f>Data!A252</f>
        <v/>
      </c>
      <c r="B252" s="16">
        <f>Data!C252/Data!$C$5</f>
        <v/>
      </c>
      <c r="C252" s="16">
        <f>Data!G252/Data!$G$5</f>
        <v/>
      </c>
      <c r="D252" s="16">
        <f>D251*(1+Data!I252/100)</f>
        <v/>
      </c>
      <c r="E252" s="16" t="n">
        <v>1</v>
      </c>
      <c r="F252" s="16">
        <f>F251*(1+Data!H252/100)^(1/12)</f>
        <v/>
      </c>
      <c r="G252" s="12">
        <f>Calculator!$B$4*Calculator!$B$5/100*B252</f>
        <v/>
      </c>
      <c r="H252" s="12">
        <f>Calculator!$B$4*Calculator!$B$6/100*C252</f>
        <v/>
      </c>
      <c r="I252" s="12">
        <f>Calculator!$B$4*Calculator!$B$7/100*D252</f>
        <v/>
      </c>
      <c r="J252" s="12">
        <f>Calculator!$B$4*Calculator!$B$8/100*E252</f>
        <v/>
      </c>
      <c r="K252" s="12">
        <f>SUM(G252:J252)</f>
        <v/>
      </c>
      <c r="L252" s="12">
        <f>K252/F252</f>
        <v/>
      </c>
      <c r="M252" s="12">
        <f>MAX(M251,K252)</f>
        <v/>
      </c>
      <c r="N252" s="13">
        <f>K252/M252-1</f>
        <v/>
      </c>
      <c r="O252" s="12">
        <f>Calculator!$B$4*B252</f>
        <v/>
      </c>
      <c r="P252" s="12">
        <f>Calculator!$B$4*C252</f>
        <v/>
      </c>
      <c r="Q252" s="12">
        <f>Calculator!$B$4*D252</f>
        <v/>
      </c>
      <c r="R252" s="12">
        <f>Calculator!$B$4*F252</f>
        <v/>
      </c>
    </row>
    <row r="253">
      <c r="A253" s="6">
        <f>Data!A253</f>
        <v/>
      </c>
      <c r="B253" s="16">
        <f>Data!C253/Data!$C$5</f>
        <v/>
      </c>
      <c r="C253" s="16">
        <f>Data!G253/Data!$G$5</f>
        <v/>
      </c>
      <c r="D253" s="16">
        <f>D252*(1+Data!I253/100)</f>
        <v/>
      </c>
      <c r="E253" s="16" t="n">
        <v>1</v>
      </c>
      <c r="F253" s="16">
        <f>F252*(1+Data!H253/100)^(1/12)</f>
        <v/>
      </c>
      <c r="G253" s="12">
        <f>Calculator!$B$4*Calculator!$B$5/100*B253</f>
        <v/>
      </c>
      <c r="H253" s="12">
        <f>Calculator!$B$4*Calculator!$B$6/100*C253</f>
        <v/>
      </c>
      <c r="I253" s="12">
        <f>Calculator!$B$4*Calculator!$B$7/100*D253</f>
        <v/>
      </c>
      <c r="J253" s="12">
        <f>Calculator!$B$4*Calculator!$B$8/100*E253</f>
        <v/>
      </c>
      <c r="K253" s="12">
        <f>SUM(G253:J253)</f>
        <v/>
      </c>
      <c r="L253" s="12">
        <f>K253/F253</f>
        <v/>
      </c>
      <c r="M253" s="12">
        <f>MAX(M252,K253)</f>
        <v/>
      </c>
      <c r="N253" s="13">
        <f>K253/M253-1</f>
        <v/>
      </c>
      <c r="O253" s="12">
        <f>Calculator!$B$4*B253</f>
        <v/>
      </c>
      <c r="P253" s="12">
        <f>Calculator!$B$4*C253</f>
        <v/>
      </c>
      <c r="Q253" s="12">
        <f>Calculator!$B$4*D253</f>
        <v/>
      </c>
      <c r="R253" s="12">
        <f>Calculator!$B$4*F253</f>
        <v/>
      </c>
    </row>
    <row r="254">
      <c r="A254" s="6">
        <f>Data!A254</f>
        <v/>
      </c>
      <c r="B254" s="16">
        <f>Data!C254/Data!$C$5</f>
        <v/>
      </c>
      <c r="C254" s="16">
        <f>Data!G254/Data!$G$5</f>
        <v/>
      </c>
      <c r="D254" s="16">
        <f>D253*(1+Data!I254/100)</f>
        <v/>
      </c>
      <c r="E254" s="16" t="n">
        <v>1</v>
      </c>
      <c r="F254" s="16">
        <f>F253*(1+Data!H254/100)^(1/12)</f>
        <v/>
      </c>
      <c r="G254" s="12">
        <f>Calculator!$B$4*Calculator!$B$5/100*B254</f>
        <v/>
      </c>
      <c r="H254" s="12">
        <f>Calculator!$B$4*Calculator!$B$6/100*C254</f>
        <v/>
      </c>
      <c r="I254" s="12">
        <f>Calculator!$B$4*Calculator!$B$7/100*D254</f>
        <v/>
      </c>
      <c r="J254" s="12">
        <f>Calculator!$B$4*Calculator!$B$8/100*E254</f>
        <v/>
      </c>
      <c r="K254" s="12">
        <f>SUM(G254:J254)</f>
        <v/>
      </c>
      <c r="L254" s="12">
        <f>K254/F254</f>
        <v/>
      </c>
      <c r="M254" s="12">
        <f>MAX(M253,K254)</f>
        <v/>
      </c>
      <c r="N254" s="13">
        <f>K254/M254-1</f>
        <v/>
      </c>
      <c r="O254" s="12">
        <f>Calculator!$B$4*B254</f>
        <v/>
      </c>
      <c r="P254" s="12">
        <f>Calculator!$B$4*C254</f>
        <v/>
      </c>
      <c r="Q254" s="12">
        <f>Calculator!$B$4*D254</f>
        <v/>
      </c>
      <c r="R254" s="12">
        <f>Calculator!$B$4*F254</f>
        <v/>
      </c>
    </row>
    <row r="255">
      <c r="A255" s="6">
        <f>Data!A255</f>
        <v/>
      </c>
      <c r="B255" s="16">
        <f>Data!C255/Data!$C$5</f>
        <v/>
      </c>
      <c r="C255" s="16">
        <f>Data!G255/Data!$G$5</f>
        <v/>
      </c>
      <c r="D255" s="16">
        <f>D254*(1+Data!I255/100)</f>
        <v/>
      </c>
      <c r="E255" s="16" t="n">
        <v>1</v>
      </c>
      <c r="F255" s="16">
        <f>F254*(1+Data!H255/100)^(1/12)</f>
        <v/>
      </c>
      <c r="G255" s="12">
        <f>Calculator!$B$4*Calculator!$B$5/100*B255</f>
        <v/>
      </c>
      <c r="H255" s="12">
        <f>Calculator!$B$4*Calculator!$B$6/100*C255</f>
        <v/>
      </c>
      <c r="I255" s="12">
        <f>Calculator!$B$4*Calculator!$B$7/100*D255</f>
        <v/>
      </c>
      <c r="J255" s="12">
        <f>Calculator!$B$4*Calculator!$B$8/100*E255</f>
        <v/>
      </c>
      <c r="K255" s="12">
        <f>SUM(G255:J255)</f>
        <v/>
      </c>
      <c r="L255" s="12">
        <f>K255/F255</f>
        <v/>
      </c>
      <c r="M255" s="12">
        <f>MAX(M254,K255)</f>
        <v/>
      </c>
      <c r="N255" s="13">
        <f>K255/M255-1</f>
        <v/>
      </c>
      <c r="O255" s="12">
        <f>Calculator!$B$4*B255</f>
        <v/>
      </c>
      <c r="P255" s="12">
        <f>Calculator!$B$4*C255</f>
        <v/>
      </c>
      <c r="Q255" s="12">
        <f>Calculator!$B$4*D255</f>
        <v/>
      </c>
      <c r="R255" s="12">
        <f>Calculator!$B$4*F255</f>
        <v/>
      </c>
    </row>
    <row r="256">
      <c r="A256" s="6">
        <f>Data!A256</f>
        <v/>
      </c>
      <c r="B256" s="16">
        <f>Data!C256/Data!$C$5</f>
        <v/>
      </c>
      <c r="C256" s="16">
        <f>Data!G256/Data!$G$5</f>
        <v/>
      </c>
      <c r="D256" s="16">
        <f>D255*(1+Data!I256/100)</f>
        <v/>
      </c>
      <c r="E256" s="16" t="n">
        <v>1</v>
      </c>
      <c r="F256" s="16">
        <f>F255*(1+Data!H256/100)^(1/12)</f>
        <v/>
      </c>
      <c r="G256" s="12">
        <f>Calculator!$B$4*Calculator!$B$5/100*B256</f>
        <v/>
      </c>
      <c r="H256" s="12">
        <f>Calculator!$B$4*Calculator!$B$6/100*C256</f>
        <v/>
      </c>
      <c r="I256" s="12">
        <f>Calculator!$B$4*Calculator!$B$7/100*D256</f>
        <v/>
      </c>
      <c r="J256" s="12">
        <f>Calculator!$B$4*Calculator!$B$8/100*E256</f>
        <v/>
      </c>
      <c r="K256" s="12">
        <f>SUM(G256:J256)</f>
        <v/>
      </c>
      <c r="L256" s="12">
        <f>K256/F256</f>
        <v/>
      </c>
      <c r="M256" s="12">
        <f>MAX(M255,K256)</f>
        <v/>
      </c>
      <c r="N256" s="13">
        <f>K256/M256-1</f>
        <v/>
      </c>
      <c r="O256" s="12">
        <f>Calculator!$B$4*B256</f>
        <v/>
      </c>
      <c r="P256" s="12">
        <f>Calculator!$B$4*C256</f>
        <v/>
      </c>
      <c r="Q256" s="12">
        <f>Calculator!$B$4*D256</f>
        <v/>
      </c>
      <c r="R256" s="12">
        <f>Calculator!$B$4*F256</f>
        <v/>
      </c>
    </row>
    <row r="257">
      <c r="A257" s="6">
        <f>Data!A257</f>
        <v/>
      </c>
      <c r="B257" s="16">
        <f>Data!C257/Data!$C$5</f>
        <v/>
      </c>
      <c r="C257" s="16">
        <f>Data!G257/Data!$G$5</f>
        <v/>
      </c>
      <c r="D257" s="16">
        <f>D256*(1+Data!I257/100)</f>
        <v/>
      </c>
      <c r="E257" s="16" t="n">
        <v>1</v>
      </c>
      <c r="F257" s="16">
        <f>F256*(1+Data!H257/100)^(1/12)</f>
        <v/>
      </c>
      <c r="G257" s="12">
        <f>Calculator!$B$4*Calculator!$B$5/100*B257</f>
        <v/>
      </c>
      <c r="H257" s="12">
        <f>Calculator!$B$4*Calculator!$B$6/100*C257</f>
        <v/>
      </c>
      <c r="I257" s="12">
        <f>Calculator!$B$4*Calculator!$B$7/100*D257</f>
        <v/>
      </c>
      <c r="J257" s="12">
        <f>Calculator!$B$4*Calculator!$B$8/100*E257</f>
        <v/>
      </c>
      <c r="K257" s="12">
        <f>SUM(G257:J257)</f>
        <v/>
      </c>
      <c r="L257" s="12">
        <f>K257/F257</f>
        <v/>
      </c>
      <c r="M257" s="12">
        <f>MAX(M256,K257)</f>
        <v/>
      </c>
      <c r="N257" s="13">
        <f>K257/M257-1</f>
        <v/>
      </c>
      <c r="O257" s="12">
        <f>Calculator!$B$4*B257</f>
        <v/>
      </c>
      <c r="P257" s="12">
        <f>Calculator!$B$4*C257</f>
        <v/>
      </c>
      <c r="Q257" s="12">
        <f>Calculator!$B$4*D257</f>
        <v/>
      </c>
      <c r="R257" s="12">
        <f>Calculator!$B$4*F257</f>
        <v/>
      </c>
    </row>
    <row r="258">
      <c r="A258" s="6">
        <f>Data!A258</f>
        <v/>
      </c>
      <c r="B258" s="16">
        <f>Data!C258/Data!$C$5</f>
        <v/>
      </c>
      <c r="C258" s="16">
        <f>Data!G258/Data!$G$5</f>
        <v/>
      </c>
      <c r="D258" s="16">
        <f>D257*(1+Data!I258/100)</f>
        <v/>
      </c>
      <c r="E258" s="16" t="n">
        <v>1</v>
      </c>
      <c r="F258" s="16">
        <f>F257*(1+Data!H258/100)^(1/12)</f>
        <v/>
      </c>
      <c r="G258" s="12">
        <f>Calculator!$B$4*Calculator!$B$5/100*B258</f>
        <v/>
      </c>
      <c r="H258" s="12">
        <f>Calculator!$B$4*Calculator!$B$6/100*C258</f>
        <v/>
      </c>
      <c r="I258" s="12">
        <f>Calculator!$B$4*Calculator!$B$7/100*D258</f>
        <v/>
      </c>
      <c r="J258" s="12">
        <f>Calculator!$B$4*Calculator!$B$8/100*E258</f>
        <v/>
      </c>
      <c r="K258" s="12">
        <f>SUM(G258:J258)</f>
        <v/>
      </c>
      <c r="L258" s="12">
        <f>K258/F258</f>
        <v/>
      </c>
      <c r="M258" s="12">
        <f>MAX(M257,K258)</f>
        <v/>
      </c>
      <c r="N258" s="13">
        <f>K258/M258-1</f>
        <v/>
      </c>
      <c r="O258" s="12">
        <f>Calculator!$B$4*B258</f>
        <v/>
      </c>
      <c r="P258" s="12">
        <f>Calculator!$B$4*C258</f>
        <v/>
      </c>
      <c r="Q258" s="12">
        <f>Calculator!$B$4*D258</f>
        <v/>
      </c>
      <c r="R258" s="12">
        <f>Calculator!$B$4*F258</f>
        <v/>
      </c>
    </row>
    <row r="259">
      <c r="A259" s="6">
        <f>Data!A259</f>
        <v/>
      </c>
      <c r="B259" s="16">
        <f>Data!C259/Data!$C$5</f>
        <v/>
      </c>
      <c r="C259" s="16">
        <f>Data!G259/Data!$G$5</f>
        <v/>
      </c>
      <c r="D259" s="16">
        <f>D258*(1+Data!I259/100)</f>
        <v/>
      </c>
      <c r="E259" s="16" t="n">
        <v>1</v>
      </c>
      <c r="F259" s="16">
        <f>F258*(1+Data!H259/100)^(1/12)</f>
        <v/>
      </c>
      <c r="G259" s="12">
        <f>Calculator!$B$4*Calculator!$B$5/100*B259</f>
        <v/>
      </c>
      <c r="H259" s="12">
        <f>Calculator!$B$4*Calculator!$B$6/100*C259</f>
        <v/>
      </c>
      <c r="I259" s="12">
        <f>Calculator!$B$4*Calculator!$B$7/100*D259</f>
        <v/>
      </c>
      <c r="J259" s="12">
        <f>Calculator!$B$4*Calculator!$B$8/100*E259</f>
        <v/>
      </c>
      <c r="K259" s="12">
        <f>SUM(G259:J259)</f>
        <v/>
      </c>
      <c r="L259" s="12">
        <f>K259/F259</f>
        <v/>
      </c>
      <c r="M259" s="12">
        <f>MAX(M258,K259)</f>
        <v/>
      </c>
      <c r="N259" s="13">
        <f>K259/M259-1</f>
        <v/>
      </c>
      <c r="O259" s="12">
        <f>Calculator!$B$4*B259</f>
        <v/>
      </c>
      <c r="P259" s="12">
        <f>Calculator!$B$4*C259</f>
        <v/>
      </c>
      <c r="Q259" s="12">
        <f>Calculator!$B$4*D259</f>
        <v/>
      </c>
      <c r="R259" s="12">
        <f>Calculator!$B$4*F259</f>
        <v/>
      </c>
    </row>
    <row r="260">
      <c r="A260" s="6">
        <f>Data!A260</f>
        <v/>
      </c>
      <c r="B260" s="16">
        <f>Data!C260/Data!$C$5</f>
        <v/>
      </c>
      <c r="C260" s="16">
        <f>Data!G260/Data!$G$5</f>
        <v/>
      </c>
      <c r="D260" s="16">
        <f>D259*(1+Data!I260/100)</f>
        <v/>
      </c>
      <c r="E260" s="16" t="n">
        <v>1</v>
      </c>
      <c r="F260" s="16">
        <f>F259*(1+Data!H260/100)^(1/12)</f>
        <v/>
      </c>
      <c r="G260" s="12">
        <f>Calculator!$B$4*Calculator!$B$5/100*B260</f>
        <v/>
      </c>
      <c r="H260" s="12">
        <f>Calculator!$B$4*Calculator!$B$6/100*C260</f>
        <v/>
      </c>
      <c r="I260" s="12">
        <f>Calculator!$B$4*Calculator!$B$7/100*D260</f>
        <v/>
      </c>
      <c r="J260" s="12">
        <f>Calculator!$B$4*Calculator!$B$8/100*E260</f>
        <v/>
      </c>
      <c r="K260" s="12">
        <f>SUM(G260:J260)</f>
        <v/>
      </c>
      <c r="L260" s="12">
        <f>K260/F260</f>
        <v/>
      </c>
      <c r="M260" s="12">
        <f>MAX(M259,K260)</f>
        <v/>
      </c>
      <c r="N260" s="13">
        <f>K260/M260-1</f>
        <v/>
      </c>
      <c r="O260" s="12">
        <f>Calculator!$B$4*B260</f>
        <v/>
      </c>
      <c r="P260" s="12">
        <f>Calculator!$B$4*C260</f>
        <v/>
      </c>
      <c r="Q260" s="12">
        <f>Calculator!$B$4*D260</f>
        <v/>
      </c>
      <c r="R260" s="12">
        <f>Calculator!$B$4*F260</f>
        <v/>
      </c>
    </row>
    <row r="261">
      <c r="A261" s="6">
        <f>Data!A261</f>
        <v/>
      </c>
      <c r="B261" s="16">
        <f>Data!C261/Data!$C$5</f>
        <v/>
      </c>
      <c r="C261" s="16">
        <f>Data!G261/Data!$G$5</f>
        <v/>
      </c>
      <c r="D261" s="16">
        <f>D260*(1+Data!I261/100)</f>
        <v/>
      </c>
      <c r="E261" s="16" t="n">
        <v>1</v>
      </c>
      <c r="F261" s="16">
        <f>F260*(1+Data!H261/100)^(1/12)</f>
        <v/>
      </c>
      <c r="G261" s="12">
        <f>Calculator!$B$4*Calculator!$B$5/100*B261</f>
        <v/>
      </c>
      <c r="H261" s="12">
        <f>Calculator!$B$4*Calculator!$B$6/100*C261</f>
        <v/>
      </c>
      <c r="I261" s="12">
        <f>Calculator!$B$4*Calculator!$B$7/100*D261</f>
        <v/>
      </c>
      <c r="J261" s="12">
        <f>Calculator!$B$4*Calculator!$B$8/100*E261</f>
        <v/>
      </c>
      <c r="K261" s="12">
        <f>SUM(G261:J261)</f>
        <v/>
      </c>
      <c r="L261" s="12">
        <f>K261/F261</f>
        <v/>
      </c>
      <c r="M261" s="12">
        <f>MAX(M260,K261)</f>
        <v/>
      </c>
      <c r="N261" s="13">
        <f>K261/M261-1</f>
        <v/>
      </c>
      <c r="O261" s="12">
        <f>Calculator!$B$4*B261</f>
        <v/>
      </c>
      <c r="P261" s="12">
        <f>Calculator!$B$4*C261</f>
        <v/>
      </c>
      <c r="Q261" s="12">
        <f>Calculator!$B$4*D261</f>
        <v/>
      </c>
      <c r="R261" s="12">
        <f>Calculator!$B$4*F261</f>
        <v/>
      </c>
    </row>
    <row r="262">
      <c r="A262" s="6">
        <f>Data!A262</f>
        <v/>
      </c>
      <c r="B262" s="16">
        <f>Data!C262/Data!$C$5</f>
        <v/>
      </c>
      <c r="C262" s="16">
        <f>Data!G262/Data!$G$5</f>
        <v/>
      </c>
      <c r="D262" s="16">
        <f>D261*(1+Data!I262/100)</f>
        <v/>
      </c>
      <c r="E262" s="16" t="n">
        <v>1</v>
      </c>
      <c r="F262" s="16">
        <f>F261*(1+Data!H262/100)^(1/12)</f>
        <v/>
      </c>
      <c r="G262" s="12">
        <f>Calculator!$B$4*Calculator!$B$5/100*B262</f>
        <v/>
      </c>
      <c r="H262" s="12">
        <f>Calculator!$B$4*Calculator!$B$6/100*C262</f>
        <v/>
      </c>
      <c r="I262" s="12">
        <f>Calculator!$B$4*Calculator!$B$7/100*D262</f>
        <v/>
      </c>
      <c r="J262" s="12">
        <f>Calculator!$B$4*Calculator!$B$8/100*E262</f>
        <v/>
      </c>
      <c r="K262" s="12">
        <f>SUM(G262:J262)</f>
        <v/>
      </c>
      <c r="L262" s="12">
        <f>K262/F262</f>
        <v/>
      </c>
      <c r="M262" s="12">
        <f>MAX(M261,K262)</f>
        <v/>
      </c>
      <c r="N262" s="13">
        <f>K262/M262-1</f>
        <v/>
      </c>
      <c r="O262" s="12">
        <f>Calculator!$B$4*B262</f>
        <v/>
      </c>
      <c r="P262" s="12">
        <f>Calculator!$B$4*C262</f>
        <v/>
      </c>
      <c r="Q262" s="12">
        <f>Calculator!$B$4*D262</f>
        <v/>
      </c>
      <c r="R262" s="12">
        <f>Calculator!$B$4*F262</f>
        <v/>
      </c>
    </row>
    <row r="263">
      <c r="A263" s="6">
        <f>Data!A263</f>
        <v/>
      </c>
      <c r="B263" s="16">
        <f>Data!C263/Data!$C$5</f>
        <v/>
      </c>
      <c r="C263" s="16">
        <f>Data!G263/Data!$G$5</f>
        <v/>
      </c>
      <c r="D263" s="16">
        <f>D262*(1+Data!I263/100)</f>
        <v/>
      </c>
      <c r="E263" s="16" t="n">
        <v>1</v>
      </c>
      <c r="F263" s="16">
        <f>F262*(1+Data!H263/100)^(1/12)</f>
        <v/>
      </c>
      <c r="G263" s="12">
        <f>Calculator!$B$4*Calculator!$B$5/100*B263</f>
        <v/>
      </c>
      <c r="H263" s="12">
        <f>Calculator!$B$4*Calculator!$B$6/100*C263</f>
        <v/>
      </c>
      <c r="I263" s="12">
        <f>Calculator!$B$4*Calculator!$B$7/100*D263</f>
        <v/>
      </c>
      <c r="J263" s="12">
        <f>Calculator!$B$4*Calculator!$B$8/100*E263</f>
        <v/>
      </c>
      <c r="K263" s="12">
        <f>SUM(G263:J263)</f>
        <v/>
      </c>
      <c r="L263" s="12">
        <f>K263/F263</f>
        <v/>
      </c>
      <c r="M263" s="12">
        <f>MAX(M262,K263)</f>
        <v/>
      </c>
      <c r="N263" s="13">
        <f>K263/M263-1</f>
        <v/>
      </c>
      <c r="O263" s="12">
        <f>Calculator!$B$4*B263</f>
        <v/>
      </c>
      <c r="P263" s="12">
        <f>Calculator!$B$4*C263</f>
        <v/>
      </c>
      <c r="Q263" s="12">
        <f>Calculator!$B$4*D263</f>
        <v/>
      </c>
      <c r="R263" s="12">
        <f>Calculator!$B$4*F263</f>
        <v/>
      </c>
    </row>
    <row r="264">
      <c r="A264" s="6">
        <f>Data!A264</f>
        <v/>
      </c>
      <c r="B264" s="16">
        <f>Data!C264/Data!$C$5</f>
        <v/>
      </c>
      <c r="C264" s="16">
        <f>Data!G264/Data!$G$5</f>
        <v/>
      </c>
      <c r="D264" s="16">
        <f>D263*(1+Data!I264/100)</f>
        <v/>
      </c>
      <c r="E264" s="16" t="n">
        <v>1</v>
      </c>
      <c r="F264" s="16">
        <f>F263*(1+Data!H264/100)^(1/12)</f>
        <v/>
      </c>
      <c r="G264" s="12">
        <f>Calculator!$B$4*Calculator!$B$5/100*B264</f>
        <v/>
      </c>
      <c r="H264" s="12">
        <f>Calculator!$B$4*Calculator!$B$6/100*C264</f>
        <v/>
      </c>
      <c r="I264" s="12">
        <f>Calculator!$B$4*Calculator!$B$7/100*D264</f>
        <v/>
      </c>
      <c r="J264" s="12">
        <f>Calculator!$B$4*Calculator!$B$8/100*E264</f>
        <v/>
      </c>
      <c r="K264" s="12">
        <f>SUM(G264:J264)</f>
        <v/>
      </c>
      <c r="L264" s="12">
        <f>K264/F264</f>
        <v/>
      </c>
      <c r="M264" s="12">
        <f>MAX(M263,K264)</f>
        <v/>
      </c>
      <c r="N264" s="13">
        <f>K264/M264-1</f>
        <v/>
      </c>
      <c r="O264" s="12">
        <f>Calculator!$B$4*B264</f>
        <v/>
      </c>
      <c r="P264" s="12">
        <f>Calculator!$B$4*C264</f>
        <v/>
      </c>
      <c r="Q264" s="12">
        <f>Calculator!$B$4*D264</f>
        <v/>
      </c>
      <c r="R264" s="12">
        <f>Calculator!$B$4*F264</f>
        <v/>
      </c>
    </row>
    <row r="265">
      <c r="A265" s="6">
        <f>Data!A265</f>
        <v/>
      </c>
      <c r="B265" s="16">
        <f>Data!C265/Data!$C$5</f>
        <v/>
      </c>
      <c r="C265" s="16">
        <f>Data!G265/Data!$G$5</f>
        <v/>
      </c>
      <c r="D265" s="16">
        <f>D264*(1+Data!I265/100)</f>
        <v/>
      </c>
      <c r="E265" s="16" t="n">
        <v>1</v>
      </c>
      <c r="F265" s="16">
        <f>F264*(1+Data!H265/100)^(1/12)</f>
        <v/>
      </c>
      <c r="G265" s="12">
        <f>Calculator!$B$4*Calculator!$B$5/100*B265</f>
        <v/>
      </c>
      <c r="H265" s="12">
        <f>Calculator!$B$4*Calculator!$B$6/100*C265</f>
        <v/>
      </c>
      <c r="I265" s="12">
        <f>Calculator!$B$4*Calculator!$B$7/100*D265</f>
        <v/>
      </c>
      <c r="J265" s="12">
        <f>Calculator!$B$4*Calculator!$B$8/100*E265</f>
        <v/>
      </c>
      <c r="K265" s="12">
        <f>SUM(G265:J265)</f>
        <v/>
      </c>
      <c r="L265" s="12">
        <f>K265/F265</f>
        <v/>
      </c>
      <c r="M265" s="12">
        <f>MAX(M264,K265)</f>
        <v/>
      </c>
      <c r="N265" s="13">
        <f>K265/M265-1</f>
        <v/>
      </c>
      <c r="O265" s="12">
        <f>Calculator!$B$4*B265</f>
        <v/>
      </c>
      <c r="P265" s="12">
        <f>Calculator!$B$4*C265</f>
        <v/>
      </c>
      <c r="Q265" s="12">
        <f>Calculator!$B$4*D265</f>
        <v/>
      </c>
      <c r="R265" s="12">
        <f>Calculator!$B$4*F265</f>
        <v/>
      </c>
    </row>
    <row r="266">
      <c r="A266" s="6">
        <f>Data!A266</f>
        <v/>
      </c>
      <c r="B266" s="16">
        <f>Data!C266/Data!$C$5</f>
        <v/>
      </c>
      <c r="C266" s="16">
        <f>Data!G266/Data!$G$5</f>
        <v/>
      </c>
      <c r="D266" s="16">
        <f>D265*(1+Data!I266/100)</f>
        <v/>
      </c>
      <c r="E266" s="16" t="n">
        <v>1</v>
      </c>
      <c r="F266" s="16">
        <f>F265*(1+Data!H266/100)^(1/12)</f>
        <v/>
      </c>
      <c r="G266" s="12">
        <f>Calculator!$B$4*Calculator!$B$5/100*B266</f>
        <v/>
      </c>
      <c r="H266" s="12">
        <f>Calculator!$B$4*Calculator!$B$6/100*C266</f>
        <v/>
      </c>
      <c r="I266" s="12">
        <f>Calculator!$B$4*Calculator!$B$7/100*D266</f>
        <v/>
      </c>
      <c r="J266" s="12">
        <f>Calculator!$B$4*Calculator!$B$8/100*E266</f>
        <v/>
      </c>
      <c r="K266" s="12">
        <f>SUM(G266:J266)</f>
        <v/>
      </c>
      <c r="L266" s="12">
        <f>K266/F266</f>
        <v/>
      </c>
      <c r="M266" s="12">
        <f>MAX(M265,K266)</f>
        <v/>
      </c>
      <c r="N266" s="13">
        <f>K266/M266-1</f>
        <v/>
      </c>
      <c r="O266" s="12">
        <f>Calculator!$B$4*B266</f>
        <v/>
      </c>
      <c r="P266" s="12">
        <f>Calculator!$B$4*C266</f>
        <v/>
      </c>
      <c r="Q266" s="12">
        <f>Calculator!$B$4*D266</f>
        <v/>
      </c>
      <c r="R266" s="12">
        <f>Calculator!$B$4*F266</f>
        <v/>
      </c>
    </row>
    <row r="267">
      <c r="A267" s="6">
        <f>Data!A267</f>
        <v/>
      </c>
      <c r="B267" s="16">
        <f>Data!C267/Data!$C$5</f>
        <v/>
      </c>
      <c r="C267" s="16">
        <f>Data!G267/Data!$G$5</f>
        <v/>
      </c>
      <c r="D267" s="16">
        <f>D266*(1+Data!I267/100)</f>
        <v/>
      </c>
      <c r="E267" s="16" t="n">
        <v>1</v>
      </c>
      <c r="F267" s="16">
        <f>F266*(1+Data!H267/100)^(1/12)</f>
        <v/>
      </c>
      <c r="G267" s="12">
        <f>Calculator!$B$4*Calculator!$B$5/100*B267</f>
        <v/>
      </c>
      <c r="H267" s="12">
        <f>Calculator!$B$4*Calculator!$B$6/100*C267</f>
        <v/>
      </c>
      <c r="I267" s="12">
        <f>Calculator!$B$4*Calculator!$B$7/100*D267</f>
        <v/>
      </c>
      <c r="J267" s="12">
        <f>Calculator!$B$4*Calculator!$B$8/100*E267</f>
        <v/>
      </c>
      <c r="K267" s="12">
        <f>SUM(G267:J267)</f>
        <v/>
      </c>
      <c r="L267" s="12">
        <f>K267/F267</f>
        <v/>
      </c>
      <c r="M267" s="12">
        <f>MAX(M266,K267)</f>
        <v/>
      </c>
      <c r="N267" s="13">
        <f>K267/M267-1</f>
        <v/>
      </c>
      <c r="O267" s="12">
        <f>Calculator!$B$4*B267</f>
        <v/>
      </c>
      <c r="P267" s="12">
        <f>Calculator!$B$4*C267</f>
        <v/>
      </c>
      <c r="Q267" s="12">
        <f>Calculator!$B$4*D267</f>
        <v/>
      </c>
      <c r="R267" s="12">
        <f>Calculator!$B$4*F267</f>
        <v/>
      </c>
    </row>
    <row r="268">
      <c r="A268" s="6">
        <f>Data!A268</f>
        <v/>
      </c>
      <c r="B268" s="16">
        <f>Data!C268/Data!$C$5</f>
        <v/>
      </c>
      <c r="C268" s="16">
        <f>Data!G268/Data!$G$5</f>
        <v/>
      </c>
      <c r="D268" s="16">
        <f>D267*(1+Data!I268/100)</f>
        <v/>
      </c>
      <c r="E268" s="16" t="n">
        <v>1</v>
      </c>
      <c r="F268" s="16">
        <f>F267*(1+Data!H268/100)^(1/12)</f>
        <v/>
      </c>
      <c r="G268" s="12">
        <f>Calculator!$B$4*Calculator!$B$5/100*B268</f>
        <v/>
      </c>
      <c r="H268" s="12">
        <f>Calculator!$B$4*Calculator!$B$6/100*C268</f>
        <v/>
      </c>
      <c r="I268" s="12">
        <f>Calculator!$B$4*Calculator!$B$7/100*D268</f>
        <v/>
      </c>
      <c r="J268" s="12">
        <f>Calculator!$B$4*Calculator!$B$8/100*E268</f>
        <v/>
      </c>
      <c r="K268" s="12">
        <f>SUM(G268:J268)</f>
        <v/>
      </c>
      <c r="L268" s="12">
        <f>K268/F268</f>
        <v/>
      </c>
      <c r="M268" s="12">
        <f>MAX(M267,K268)</f>
        <v/>
      </c>
      <c r="N268" s="13">
        <f>K268/M268-1</f>
        <v/>
      </c>
      <c r="O268" s="12">
        <f>Calculator!$B$4*B268</f>
        <v/>
      </c>
      <c r="P268" s="12">
        <f>Calculator!$B$4*C268</f>
        <v/>
      </c>
      <c r="Q268" s="12">
        <f>Calculator!$B$4*D268</f>
        <v/>
      </c>
      <c r="R268" s="12">
        <f>Calculator!$B$4*F268</f>
        <v/>
      </c>
    </row>
    <row r="269">
      <c r="A269" s="6">
        <f>Data!A269</f>
        <v/>
      </c>
      <c r="B269" s="16">
        <f>Data!C269/Data!$C$5</f>
        <v/>
      </c>
      <c r="C269" s="16">
        <f>Data!G269/Data!$G$5</f>
        <v/>
      </c>
      <c r="D269" s="16">
        <f>D268*(1+Data!I269/100)</f>
        <v/>
      </c>
      <c r="E269" s="16" t="n">
        <v>1</v>
      </c>
      <c r="F269" s="16">
        <f>F268*(1+Data!H269/100)^(1/12)</f>
        <v/>
      </c>
      <c r="G269" s="12">
        <f>Calculator!$B$4*Calculator!$B$5/100*B269</f>
        <v/>
      </c>
      <c r="H269" s="12">
        <f>Calculator!$B$4*Calculator!$B$6/100*C269</f>
        <v/>
      </c>
      <c r="I269" s="12">
        <f>Calculator!$B$4*Calculator!$B$7/100*D269</f>
        <v/>
      </c>
      <c r="J269" s="12">
        <f>Calculator!$B$4*Calculator!$B$8/100*E269</f>
        <v/>
      </c>
      <c r="K269" s="12">
        <f>SUM(G269:J269)</f>
        <v/>
      </c>
      <c r="L269" s="12">
        <f>K269/F269</f>
        <v/>
      </c>
      <c r="M269" s="12">
        <f>MAX(M268,K269)</f>
        <v/>
      </c>
      <c r="N269" s="13">
        <f>K269/M269-1</f>
        <v/>
      </c>
      <c r="O269" s="12">
        <f>Calculator!$B$4*B269</f>
        <v/>
      </c>
      <c r="P269" s="12">
        <f>Calculator!$B$4*C269</f>
        <v/>
      </c>
      <c r="Q269" s="12">
        <f>Calculator!$B$4*D269</f>
        <v/>
      </c>
      <c r="R269" s="12">
        <f>Calculator!$B$4*F269</f>
        <v/>
      </c>
    </row>
    <row r="270">
      <c r="A270" s="6">
        <f>Data!A270</f>
        <v/>
      </c>
      <c r="B270" s="16">
        <f>Data!C270/Data!$C$5</f>
        <v/>
      </c>
      <c r="C270" s="16">
        <f>Data!G270/Data!$G$5</f>
        <v/>
      </c>
      <c r="D270" s="16">
        <f>D269*(1+Data!I270/100)</f>
        <v/>
      </c>
      <c r="E270" s="16" t="n">
        <v>1</v>
      </c>
      <c r="F270" s="16">
        <f>F269*(1+Data!H270/100)^(1/12)</f>
        <v/>
      </c>
      <c r="G270" s="12">
        <f>Calculator!$B$4*Calculator!$B$5/100*B270</f>
        <v/>
      </c>
      <c r="H270" s="12">
        <f>Calculator!$B$4*Calculator!$B$6/100*C270</f>
        <v/>
      </c>
      <c r="I270" s="12">
        <f>Calculator!$B$4*Calculator!$B$7/100*D270</f>
        <v/>
      </c>
      <c r="J270" s="12">
        <f>Calculator!$B$4*Calculator!$B$8/100*E270</f>
        <v/>
      </c>
      <c r="K270" s="12">
        <f>SUM(G270:J270)</f>
        <v/>
      </c>
      <c r="L270" s="12">
        <f>K270/F270</f>
        <v/>
      </c>
      <c r="M270" s="12">
        <f>MAX(M269,K270)</f>
        <v/>
      </c>
      <c r="N270" s="13">
        <f>K270/M270-1</f>
        <v/>
      </c>
      <c r="O270" s="12">
        <f>Calculator!$B$4*B270</f>
        <v/>
      </c>
      <c r="P270" s="12">
        <f>Calculator!$B$4*C270</f>
        <v/>
      </c>
      <c r="Q270" s="12">
        <f>Calculator!$B$4*D270</f>
        <v/>
      </c>
      <c r="R270" s="12">
        <f>Calculator!$B$4*F270</f>
        <v/>
      </c>
    </row>
    <row r="271">
      <c r="A271" s="6">
        <f>Data!A271</f>
        <v/>
      </c>
      <c r="B271" s="16">
        <f>Data!C271/Data!$C$5</f>
        <v/>
      </c>
      <c r="C271" s="16">
        <f>Data!G271/Data!$G$5</f>
        <v/>
      </c>
      <c r="D271" s="16">
        <f>D270*(1+Data!I271/100)</f>
        <v/>
      </c>
      <c r="E271" s="16" t="n">
        <v>1</v>
      </c>
      <c r="F271" s="16">
        <f>F270*(1+Data!H271/100)^(1/12)</f>
        <v/>
      </c>
      <c r="G271" s="12">
        <f>Calculator!$B$4*Calculator!$B$5/100*B271</f>
        <v/>
      </c>
      <c r="H271" s="12">
        <f>Calculator!$B$4*Calculator!$B$6/100*C271</f>
        <v/>
      </c>
      <c r="I271" s="12">
        <f>Calculator!$B$4*Calculator!$B$7/100*D271</f>
        <v/>
      </c>
      <c r="J271" s="12">
        <f>Calculator!$B$4*Calculator!$B$8/100*E271</f>
        <v/>
      </c>
      <c r="K271" s="12">
        <f>SUM(G271:J271)</f>
        <v/>
      </c>
      <c r="L271" s="12">
        <f>K271/F271</f>
        <v/>
      </c>
      <c r="M271" s="12">
        <f>MAX(M270,K271)</f>
        <v/>
      </c>
      <c r="N271" s="13">
        <f>K271/M271-1</f>
        <v/>
      </c>
      <c r="O271" s="12">
        <f>Calculator!$B$4*B271</f>
        <v/>
      </c>
      <c r="P271" s="12">
        <f>Calculator!$B$4*C271</f>
        <v/>
      </c>
      <c r="Q271" s="12">
        <f>Calculator!$B$4*D271</f>
        <v/>
      </c>
      <c r="R271" s="12">
        <f>Calculator!$B$4*F271</f>
        <v/>
      </c>
    </row>
    <row r="272">
      <c r="A272" s="6">
        <f>Data!A272</f>
        <v/>
      </c>
      <c r="B272" s="16">
        <f>Data!C272/Data!$C$5</f>
        <v/>
      </c>
      <c r="C272" s="16">
        <f>Data!G272/Data!$G$5</f>
        <v/>
      </c>
      <c r="D272" s="16">
        <f>D271*(1+Data!I272/100)</f>
        <v/>
      </c>
      <c r="E272" s="16" t="n">
        <v>1</v>
      </c>
      <c r="F272" s="16">
        <f>F271*(1+Data!H272/100)^(1/12)</f>
        <v/>
      </c>
      <c r="G272" s="12">
        <f>Calculator!$B$4*Calculator!$B$5/100*B272</f>
        <v/>
      </c>
      <c r="H272" s="12">
        <f>Calculator!$B$4*Calculator!$B$6/100*C272</f>
        <v/>
      </c>
      <c r="I272" s="12">
        <f>Calculator!$B$4*Calculator!$B$7/100*D272</f>
        <v/>
      </c>
      <c r="J272" s="12">
        <f>Calculator!$B$4*Calculator!$B$8/100*E272</f>
        <v/>
      </c>
      <c r="K272" s="12">
        <f>SUM(G272:J272)</f>
        <v/>
      </c>
      <c r="L272" s="12">
        <f>K272/F272</f>
        <v/>
      </c>
      <c r="M272" s="12">
        <f>MAX(M271,K272)</f>
        <v/>
      </c>
      <c r="N272" s="13">
        <f>K272/M272-1</f>
        <v/>
      </c>
      <c r="O272" s="12">
        <f>Calculator!$B$4*B272</f>
        <v/>
      </c>
      <c r="P272" s="12">
        <f>Calculator!$B$4*C272</f>
        <v/>
      </c>
      <c r="Q272" s="12">
        <f>Calculator!$B$4*D272</f>
        <v/>
      </c>
      <c r="R272" s="12">
        <f>Calculator!$B$4*F272</f>
        <v/>
      </c>
    </row>
    <row r="273">
      <c r="A273" s="6">
        <f>Data!A273</f>
        <v/>
      </c>
      <c r="B273" s="16">
        <f>Data!C273/Data!$C$5</f>
        <v/>
      </c>
      <c r="C273" s="16">
        <f>Data!G273/Data!$G$5</f>
        <v/>
      </c>
      <c r="D273" s="16">
        <f>D272*(1+Data!I273/100)</f>
        <v/>
      </c>
      <c r="E273" s="16" t="n">
        <v>1</v>
      </c>
      <c r="F273" s="16">
        <f>F272*(1+Data!H273/100)^(1/12)</f>
        <v/>
      </c>
      <c r="G273" s="12">
        <f>Calculator!$B$4*Calculator!$B$5/100*B273</f>
        <v/>
      </c>
      <c r="H273" s="12">
        <f>Calculator!$B$4*Calculator!$B$6/100*C273</f>
        <v/>
      </c>
      <c r="I273" s="12">
        <f>Calculator!$B$4*Calculator!$B$7/100*D273</f>
        <v/>
      </c>
      <c r="J273" s="12">
        <f>Calculator!$B$4*Calculator!$B$8/100*E273</f>
        <v/>
      </c>
      <c r="K273" s="12">
        <f>SUM(G273:J273)</f>
        <v/>
      </c>
      <c r="L273" s="12">
        <f>K273/F273</f>
        <v/>
      </c>
      <c r="M273" s="12">
        <f>MAX(M272,K273)</f>
        <v/>
      </c>
      <c r="N273" s="13">
        <f>K273/M273-1</f>
        <v/>
      </c>
      <c r="O273" s="12">
        <f>Calculator!$B$4*B273</f>
        <v/>
      </c>
      <c r="P273" s="12">
        <f>Calculator!$B$4*C273</f>
        <v/>
      </c>
      <c r="Q273" s="12">
        <f>Calculator!$B$4*D273</f>
        <v/>
      </c>
      <c r="R273" s="12">
        <f>Calculator!$B$4*F273</f>
        <v/>
      </c>
    </row>
    <row r="274">
      <c r="A274" s="6">
        <f>Data!A274</f>
        <v/>
      </c>
      <c r="B274" s="16">
        <f>Data!C274/Data!$C$5</f>
        <v/>
      </c>
      <c r="C274" s="16">
        <f>Data!G274/Data!$G$5</f>
        <v/>
      </c>
      <c r="D274" s="16">
        <f>D273*(1+Data!I274/100)</f>
        <v/>
      </c>
      <c r="E274" s="16" t="n">
        <v>1</v>
      </c>
      <c r="F274" s="16">
        <f>F273*(1+Data!H274/100)^(1/12)</f>
        <v/>
      </c>
      <c r="G274" s="12">
        <f>Calculator!$B$4*Calculator!$B$5/100*B274</f>
        <v/>
      </c>
      <c r="H274" s="12">
        <f>Calculator!$B$4*Calculator!$B$6/100*C274</f>
        <v/>
      </c>
      <c r="I274" s="12">
        <f>Calculator!$B$4*Calculator!$B$7/100*D274</f>
        <v/>
      </c>
      <c r="J274" s="12">
        <f>Calculator!$B$4*Calculator!$B$8/100*E274</f>
        <v/>
      </c>
      <c r="K274" s="12">
        <f>SUM(G274:J274)</f>
        <v/>
      </c>
      <c r="L274" s="12">
        <f>K274/F274</f>
        <v/>
      </c>
      <c r="M274" s="12">
        <f>MAX(M273,K274)</f>
        <v/>
      </c>
      <c r="N274" s="13">
        <f>K274/M274-1</f>
        <v/>
      </c>
      <c r="O274" s="12">
        <f>Calculator!$B$4*B274</f>
        <v/>
      </c>
      <c r="P274" s="12">
        <f>Calculator!$B$4*C274</f>
        <v/>
      </c>
      <c r="Q274" s="12">
        <f>Calculator!$B$4*D274</f>
        <v/>
      </c>
      <c r="R274" s="12">
        <f>Calculator!$B$4*F274</f>
        <v/>
      </c>
    </row>
    <row r="275">
      <c r="A275" s="6">
        <f>Data!A275</f>
        <v/>
      </c>
      <c r="B275" s="16">
        <f>Data!C275/Data!$C$5</f>
        <v/>
      </c>
      <c r="C275" s="16">
        <f>Data!G275/Data!$G$5</f>
        <v/>
      </c>
      <c r="D275" s="16">
        <f>D274*(1+Data!I275/100)</f>
        <v/>
      </c>
      <c r="E275" s="16" t="n">
        <v>1</v>
      </c>
      <c r="F275" s="16">
        <f>F274*(1+Data!H275/100)^(1/12)</f>
        <v/>
      </c>
      <c r="G275" s="12">
        <f>Calculator!$B$4*Calculator!$B$5/100*B275</f>
        <v/>
      </c>
      <c r="H275" s="12">
        <f>Calculator!$B$4*Calculator!$B$6/100*C275</f>
        <v/>
      </c>
      <c r="I275" s="12">
        <f>Calculator!$B$4*Calculator!$B$7/100*D275</f>
        <v/>
      </c>
      <c r="J275" s="12">
        <f>Calculator!$B$4*Calculator!$B$8/100*E275</f>
        <v/>
      </c>
      <c r="K275" s="12">
        <f>SUM(G275:J275)</f>
        <v/>
      </c>
      <c r="L275" s="12">
        <f>K275/F275</f>
        <v/>
      </c>
      <c r="M275" s="12">
        <f>MAX(M274,K275)</f>
        <v/>
      </c>
      <c r="N275" s="13">
        <f>K275/M275-1</f>
        <v/>
      </c>
      <c r="O275" s="12">
        <f>Calculator!$B$4*B275</f>
        <v/>
      </c>
      <c r="P275" s="12">
        <f>Calculator!$B$4*C275</f>
        <v/>
      </c>
      <c r="Q275" s="12">
        <f>Calculator!$B$4*D275</f>
        <v/>
      </c>
      <c r="R275" s="12">
        <f>Calculator!$B$4*F275</f>
        <v/>
      </c>
    </row>
    <row r="276">
      <c r="A276" s="6">
        <f>Data!A276</f>
        <v/>
      </c>
      <c r="B276" s="16">
        <f>Data!C276/Data!$C$5</f>
        <v/>
      </c>
      <c r="C276" s="16">
        <f>Data!G276/Data!$G$5</f>
        <v/>
      </c>
      <c r="D276" s="16">
        <f>D275*(1+Data!I276/100)</f>
        <v/>
      </c>
      <c r="E276" s="16" t="n">
        <v>1</v>
      </c>
      <c r="F276" s="16">
        <f>F275*(1+Data!H276/100)^(1/12)</f>
        <v/>
      </c>
      <c r="G276" s="12">
        <f>Calculator!$B$4*Calculator!$B$5/100*B276</f>
        <v/>
      </c>
      <c r="H276" s="12">
        <f>Calculator!$B$4*Calculator!$B$6/100*C276</f>
        <v/>
      </c>
      <c r="I276" s="12">
        <f>Calculator!$B$4*Calculator!$B$7/100*D276</f>
        <v/>
      </c>
      <c r="J276" s="12">
        <f>Calculator!$B$4*Calculator!$B$8/100*E276</f>
        <v/>
      </c>
      <c r="K276" s="12">
        <f>SUM(G276:J276)</f>
        <v/>
      </c>
      <c r="L276" s="12">
        <f>K276/F276</f>
        <v/>
      </c>
      <c r="M276" s="12">
        <f>MAX(M275,K276)</f>
        <v/>
      </c>
      <c r="N276" s="13">
        <f>K276/M276-1</f>
        <v/>
      </c>
      <c r="O276" s="12">
        <f>Calculator!$B$4*B276</f>
        <v/>
      </c>
      <c r="P276" s="12">
        <f>Calculator!$B$4*C276</f>
        <v/>
      </c>
      <c r="Q276" s="12">
        <f>Calculator!$B$4*D276</f>
        <v/>
      </c>
      <c r="R276" s="12">
        <f>Calculator!$B$4*F276</f>
        <v/>
      </c>
    </row>
    <row r="277">
      <c r="A277" s="6">
        <f>Data!A277</f>
        <v/>
      </c>
      <c r="B277" s="16">
        <f>Data!C277/Data!$C$5</f>
        <v/>
      </c>
      <c r="C277" s="16">
        <f>Data!G277/Data!$G$5</f>
        <v/>
      </c>
      <c r="D277" s="16">
        <f>D276*(1+Data!I277/100)</f>
        <v/>
      </c>
      <c r="E277" s="16" t="n">
        <v>1</v>
      </c>
      <c r="F277" s="16">
        <f>F276*(1+Data!H277/100)^(1/12)</f>
        <v/>
      </c>
      <c r="G277" s="12">
        <f>Calculator!$B$4*Calculator!$B$5/100*B277</f>
        <v/>
      </c>
      <c r="H277" s="12">
        <f>Calculator!$B$4*Calculator!$B$6/100*C277</f>
        <v/>
      </c>
      <c r="I277" s="12">
        <f>Calculator!$B$4*Calculator!$B$7/100*D277</f>
        <v/>
      </c>
      <c r="J277" s="12">
        <f>Calculator!$B$4*Calculator!$B$8/100*E277</f>
        <v/>
      </c>
      <c r="K277" s="12">
        <f>SUM(G277:J277)</f>
        <v/>
      </c>
      <c r="L277" s="12">
        <f>K277/F277</f>
        <v/>
      </c>
      <c r="M277" s="12">
        <f>MAX(M276,K277)</f>
        <v/>
      </c>
      <c r="N277" s="13">
        <f>K277/M277-1</f>
        <v/>
      </c>
      <c r="O277" s="12">
        <f>Calculator!$B$4*B277</f>
        <v/>
      </c>
      <c r="P277" s="12">
        <f>Calculator!$B$4*C277</f>
        <v/>
      </c>
      <c r="Q277" s="12">
        <f>Calculator!$B$4*D277</f>
        <v/>
      </c>
      <c r="R277" s="12">
        <f>Calculator!$B$4*F277</f>
        <v/>
      </c>
    </row>
    <row r="278">
      <c r="A278" s="6">
        <f>Data!A278</f>
        <v/>
      </c>
      <c r="B278" s="16">
        <f>Data!C278/Data!$C$5</f>
        <v/>
      </c>
      <c r="C278" s="16">
        <f>Data!G278/Data!$G$5</f>
        <v/>
      </c>
      <c r="D278" s="16">
        <f>D277*(1+Data!I278/100)</f>
        <v/>
      </c>
      <c r="E278" s="16" t="n">
        <v>1</v>
      </c>
      <c r="F278" s="16">
        <f>F277*(1+Data!H278/100)^(1/12)</f>
        <v/>
      </c>
      <c r="G278" s="12">
        <f>Calculator!$B$4*Calculator!$B$5/100*B278</f>
        <v/>
      </c>
      <c r="H278" s="12">
        <f>Calculator!$B$4*Calculator!$B$6/100*C278</f>
        <v/>
      </c>
      <c r="I278" s="12">
        <f>Calculator!$B$4*Calculator!$B$7/100*D278</f>
        <v/>
      </c>
      <c r="J278" s="12">
        <f>Calculator!$B$4*Calculator!$B$8/100*E278</f>
        <v/>
      </c>
      <c r="K278" s="12">
        <f>SUM(G278:J278)</f>
        <v/>
      </c>
      <c r="L278" s="12">
        <f>K278/F278</f>
        <v/>
      </c>
      <c r="M278" s="12">
        <f>MAX(M277,K278)</f>
        <v/>
      </c>
      <c r="N278" s="13">
        <f>K278/M278-1</f>
        <v/>
      </c>
      <c r="O278" s="12">
        <f>Calculator!$B$4*B278</f>
        <v/>
      </c>
      <c r="P278" s="12">
        <f>Calculator!$B$4*C278</f>
        <v/>
      </c>
      <c r="Q278" s="12">
        <f>Calculator!$B$4*D278</f>
        <v/>
      </c>
      <c r="R278" s="12">
        <f>Calculator!$B$4*F278</f>
        <v/>
      </c>
    </row>
    <row r="279">
      <c r="A279" s="6">
        <f>Data!A279</f>
        <v/>
      </c>
      <c r="B279" s="16">
        <f>Data!C279/Data!$C$5</f>
        <v/>
      </c>
      <c r="C279" s="16">
        <f>Data!G279/Data!$G$5</f>
        <v/>
      </c>
      <c r="D279" s="16">
        <f>D278*(1+Data!I279/100)</f>
        <v/>
      </c>
      <c r="E279" s="16" t="n">
        <v>1</v>
      </c>
      <c r="F279" s="16">
        <f>F278*(1+Data!H279/100)^(1/12)</f>
        <v/>
      </c>
      <c r="G279" s="12">
        <f>Calculator!$B$4*Calculator!$B$5/100*B279</f>
        <v/>
      </c>
      <c r="H279" s="12">
        <f>Calculator!$B$4*Calculator!$B$6/100*C279</f>
        <v/>
      </c>
      <c r="I279" s="12">
        <f>Calculator!$B$4*Calculator!$B$7/100*D279</f>
        <v/>
      </c>
      <c r="J279" s="12">
        <f>Calculator!$B$4*Calculator!$B$8/100*E279</f>
        <v/>
      </c>
      <c r="K279" s="12">
        <f>SUM(G279:J279)</f>
        <v/>
      </c>
      <c r="L279" s="12">
        <f>K279/F279</f>
        <v/>
      </c>
      <c r="M279" s="12">
        <f>MAX(M278,K279)</f>
        <v/>
      </c>
      <c r="N279" s="13">
        <f>K279/M279-1</f>
        <v/>
      </c>
      <c r="O279" s="12">
        <f>Calculator!$B$4*B279</f>
        <v/>
      </c>
      <c r="P279" s="12">
        <f>Calculator!$B$4*C279</f>
        <v/>
      </c>
      <c r="Q279" s="12">
        <f>Calculator!$B$4*D279</f>
        <v/>
      </c>
      <c r="R279" s="12">
        <f>Calculator!$B$4*F279</f>
        <v/>
      </c>
    </row>
    <row r="280">
      <c r="A280" s="6">
        <f>Data!A280</f>
        <v/>
      </c>
      <c r="B280" s="16">
        <f>Data!C280/Data!$C$5</f>
        <v/>
      </c>
      <c r="C280" s="16">
        <f>Data!G280/Data!$G$5</f>
        <v/>
      </c>
      <c r="D280" s="16">
        <f>D279*(1+Data!I280/100)</f>
        <v/>
      </c>
      <c r="E280" s="16" t="n">
        <v>1</v>
      </c>
      <c r="F280" s="16">
        <f>F279*(1+Data!H280/100)^(1/12)</f>
        <v/>
      </c>
      <c r="G280" s="12">
        <f>Calculator!$B$4*Calculator!$B$5/100*B280</f>
        <v/>
      </c>
      <c r="H280" s="12">
        <f>Calculator!$B$4*Calculator!$B$6/100*C280</f>
        <v/>
      </c>
      <c r="I280" s="12">
        <f>Calculator!$B$4*Calculator!$B$7/100*D280</f>
        <v/>
      </c>
      <c r="J280" s="12">
        <f>Calculator!$B$4*Calculator!$B$8/100*E280</f>
        <v/>
      </c>
      <c r="K280" s="12">
        <f>SUM(G280:J280)</f>
        <v/>
      </c>
      <c r="L280" s="12">
        <f>K280/F280</f>
        <v/>
      </c>
      <c r="M280" s="12">
        <f>MAX(M279,K280)</f>
        <v/>
      </c>
      <c r="N280" s="13">
        <f>K280/M280-1</f>
        <v/>
      </c>
      <c r="O280" s="12">
        <f>Calculator!$B$4*B280</f>
        <v/>
      </c>
      <c r="P280" s="12">
        <f>Calculator!$B$4*C280</f>
        <v/>
      </c>
      <c r="Q280" s="12">
        <f>Calculator!$B$4*D280</f>
        <v/>
      </c>
      <c r="R280" s="12">
        <f>Calculator!$B$4*F280</f>
        <v/>
      </c>
    </row>
    <row r="281">
      <c r="A281" s="6">
        <f>Data!A281</f>
        <v/>
      </c>
      <c r="B281" s="16">
        <f>Data!C281/Data!$C$5</f>
        <v/>
      </c>
      <c r="C281" s="16">
        <f>Data!G281/Data!$G$5</f>
        <v/>
      </c>
      <c r="D281" s="16">
        <f>D280*(1+Data!I281/100)</f>
        <v/>
      </c>
      <c r="E281" s="16" t="n">
        <v>1</v>
      </c>
      <c r="F281" s="16">
        <f>F280*(1+Data!H281/100)^(1/12)</f>
        <v/>
      </c>
      <c r="G281" s="12">
        <f>Calculator!$B$4*Calculator!$B$5/100*B281</f>
        <v/>
      </c>
      <c r="H281" s="12">
        <f>Calculator!$B$4*Calculator!$B$6/100*C281</f>
        <v/>
      </c>
      <c r="I281" s="12">
        <f>Calculator!$B$4*Calculator!$B$7/100*D281</f>
        <v/>
      </c>
      <c r="J281" s="12">
        <f>Calculator!$B$4*Calculator!$B$8/100*E281</f>
        <v/>
      </c>
      <c r="K281" s="12">
        <f>SUM(G281:J281)</f>
        <v/>
      </c>
      <c r="L281" s="12">
        <f>K281/F281</f>
        <v/>
      </c>
      <c r="M281" s="12">
        <f>MAX(M280,K281)</f>
        <v/>
      </c>
      <c r="N281" s="13">
        <f>K281/M281-1</f>
        <v/>
      </c>
      <c r="O281" s="12">
        <f>Calculator!$B$4*B281</f>
        <v/>
      </c>
      <c r="P281" s="12">
        <f>Calculator!$B$4*C281</f>
        <v/>
      </c>
      <c r="Q281" s="12">
        <f>Calculator!$B$4*D281</f>
        <v/>
      </c>
      <c r="R281" s="12">
        <f>Calculator!$B$4*F281</f>
        <v/>
      </c>
    </row>
    <row r="282">
      <c r="A282" s="6">
        <f>Data!A282</f>
        <v/>
      </c>
      <c r="B282" s="16">
        <f>Data!C282/Data!$C$5</f>
        <v/>
      </c>
      <c r="C282" s="16">
        <f>Data!G282/Data!$G$5</f>
        <v/>
      </c>
      <c r="D282" s="16">
        <f>D281*(1+Data!I282/100)</f>
        <v/>
      </c>
      <c r="E282" s="16" t="n">
        <v>1</v>
      </c>
      <c r="F282" s="16">
        <f>F281*(1+Data!H282/100)^(1/12)</f>
        <v/>
      </c>
      <c r="G282" s="12">
        <f>Calculator!$B$4*Calculator!$B$5/100*B282</f>
        <v/>
      </c>
      <c r="H282" s="12">
        <f>Calculator!$B$4*Calculator!$B$6/100*C282</f>
        <v/>
      </c>
      <c r="I282" s="12">
        <f>Calculator!$B$4*Calculator!$B$7/100*D282</f>
        <v/>
      </c>
      <c r="J282" s="12">
        <f>Calculator!$B$4*Calculator!$B$8/100*E282</f>
        <v/>
      </c>
      <c r="K282" s="12">
        <f>SUM(G282:J282)</f>
        <v/>
      </c>
      <c r="L282" s="12">
        <f>K282/F282</f>
        <v/>
      </c>
      <c r="M282" s="12">
        <f>MAX(M281,K282)</f>
        <v/>
      </c>
      <c r="N282" s="13">
        <f>K282/M282-1</f>
        <v/>
      </c>
      <c r="O282" s="12">
        <f>Calculator!$B$4*B282</f>
        <v/>
      </c>
      <c r="P282" s="12">
        <f>Calculator!$B$4*C282</f>
        <v/>
      </c>
      <c r="Q282" s="12">
        <f>Calculator!$B$4*D282</f>
        <v/>
      </c>
      <c r="R282" s="12">
        <f>Calculator!$B$4*F282</f>
        <v/>
      </c>
    </row>
    <row r="283">
      <c r="A283" s="6">
        <f>Data!A283</f>
        <v/>
      </c>
      <c r="B283" s="16">
        <f>Data!C283/Data!$C$5</f>
        <v/>
      </c>
      <c r="C283" s="16">
        <f>Data!G283/Data!$G$5</f>
        <v/>
      </c>
      <c r="D283" s="16">
        <f>D282*(1+Data!I283/100)</f>
        <v/>
      </c>
      <c r="E283" s="16" t="n">
        <v>1</v>
      </c>
      <c r="F283" s="16">
        <f>F282*(1+Data!H283/100)^(1/12)</f>
        <v/>
      </c>
      <c r="G283" s="12">
        <f>Calculator!$B$4*Calculator!$B$5/100*B283</f>
        <v/>
      </c>
      <c r="H283" s="12">
        <f>Calculator!$B$4*Calculator!$B$6/100*C283</f>
        <v/>
      </c>
      <c r="I283" s="12">
        <f>Calculator!$B$4*Calculator!$B$7/100*D283</f>
        <v/>
      </c>
      <c r="J283" s="12">
        <f>Calculator!$B$4*Calculator!$B$8/100*E283</f>
        <v/>
      </c>
      <c r="K283" s="12">
        <f>SUM(G283:J283)</f>
        <v/>
      </c>
      <c r="L283" s="12">
        <f>K283/F283</f>
        <v/>
      </c>
      <c r="M283" s="12">
        <f>MAX(M282,K283)</f>
        <v/>
      </c>
      <c r="N283" s="13">
        <f>K283/M283-1</f>
        <v/>
      </c>
      <c r="O283" s="12">
        <f>Calculator!$B$4*B283</f>
        <v/>
      </c>
      <c r="P283" s="12">
        <f>Calculator!$B$4*C283</f>
        <v/>
      </c>
      <c r="Q283" s="12">
        <f>Calculator!$B$4*D283</f>
        <v/>
      </c>
      <c r="R283" s="12">
        <f>Calculator!$B$4*F283</f>
        <v/>
      </c>
    </row>
    <row r="284">
      <c r="A284" s="6">
        <f>Data!A284</f>
        <v/>
      </c>
      <c r="B284" s="16">
        <f>Data!C284/Data!$C$5</f>
        <v/>
      </c>
      <c r="C284" s="16">
        <f>Data!G284/Data!$G$5</f>
        <v/>
      </c>
      <c r="D284" s="16">
        <f>D283*(1+Data!I284/100)</f>
        <v/>
      </c>
      <c r="E284" s="16" t="n">
        <v>1</v>
      </c>
      <c r="F284" s="16">
        <f>F283*(1+Data!H284/100)^(1/12)</f>
        <v/>
      </c>
      <c r="G284" s="12">
        <f>Calculator!$B$4*Calculator!$B$5/100*B284</f>
        <v/>
      </c>
      <c r="H284" s="12">
        <f>Calculator!$B$4*Calculator!$B$6/100*C284</f>
        <v/>
      </c>
      <c r="I284" s="12">
        <f>Calculator!$B$4*Calculator!$B$7/100*D284</f>
        <v/>
      </c>
      <c r="J284" s="12">
        <f>Calculator!$B$4*Calculator!$B$8/100*E284</f>
        <v/>
      </c>
      <c r="K284" s="12">
        <f>SUM(G284:J284)</f>
        <v/>
      </c>
      <c r="L284" s="12">
        <f>K284/F284</f>
        <v/>
      </c>
      <c r="M284" s="12">
        <f>MAX(M283,K284)</f>
        <v/>
      </c>
      <c r="N284" s="13">
        <f>K284/M284-1</f>
        <v/>
      </c>
      <c r="O284" s="12">
        <f>Calculator!$B$4*B284</f>
        <v/>
      </c>
      <c r="P284" s="12">
        <f>Calculator!$B$4*C284</f>
        <v/>
      </c>
      <c r="Q284" s="12">
        <f>Calculator!$B$4*D284</f>
        <v/>
      </c>
      <c r="R284" s="12">
        <f>Calculator!$B$4*F284</f>
        <v/>
      </c>
    </row>
    <row r="285">
      <c r="A285" s="6">
        <f>Data!A285</f>
        <v/>
      </c>
      <c r="B285" s="16">
        <f>Data!C285/Data!$C$5</f>
        <v/>
      </c>
      <c r="C285" s="16">
        <f>Data!G285/Data!$G$5</f>
        <v/>
      </c>
      <c r="D285" s="16">
        <f>D284*(1+Data!I285/100)</f>
        <v/>
      </c>
      <c r="E285" s="16" t="n">
        <v>1</v>
      </c>
      <c r="F285" s="16">
        <f>F284*(1+Data!H285/100)^(1/12)</f>
        <v/>
      </c>
      <c r="G285" s="12">
        <f>Calculator!$B$4*Calculator!$B$5/100*B285</f>
        <v/>
      </c>
      <c r="H285" s="12">
        <f>Calculator!$B$4*Calculator!$B$6/100*C285</f>
        <v/>
      </c>
      <c r="I285" s="12">
        <f>Calculator!$B$4*Calculator!$B$7/100*D285</f>
        <v/>
      </c>
      <c r="J285" s="12">
        <f>Calculator!$B$4*Calculator!$B$8/100*E285</f>
        <v/>
      </c>
      <c r="K285" s="12">
        <f>SUM(G285:J285)</f>
        <v/>
      </c>
      <c r="L285" s="12">
        <f>K285/F285</f>
        <v/>
      </c>
      <c r="M285" s="12">
        <f>MAX(M284,K285)</f>
        <v/>
      </c>
      <c r="N285" s="13">
        <f>K285/M285-1</f>
        <v/>
      </c>
      <c r="O285" s="12">
        <f>Calculator!$B$4*B285</f>
        <v/>
      </c>
      <c r="P285" s="12">
        <f>Calculator!$B$4*C285</f>
        <v/>
      </c>
      <c r="Q285" s="12">
        <f>Calculator!$B$4*D285</f>
        <v/>
      </c>
      <c r="R285" s="12">
        <f>Calculator!$B$4*F285</f>
        <v/>
      </c>
    </row>
    <row r="286">
      <c r="A286" s="6">
        <f>Data!A286</f>
        <v/>
      </c>
      <c r="B286" s="16">
        <f>Data!C286/Data!$C$5</f>
        <v/>
      </c>
      <c r="C286" s="16">
        <f>Data!G286/Data!$G$5</f>
        <v/>
      </c>
      <c r="D286" s="16">
        <f>D285*(1+Data!I286/100)</f>
        <v/>
      </c>
      <c r="E286" s="16" t="n">
        <v>1</v>
      </c>
      <c r="F286" s="16">
        <f>F285*(1+Data!H286/100)^(1/12)</f>
        <v/>
      </c>
      <c r="G286" s="12">
        <f>Calculator!$B$4*Calculator!$B$5/100*B286</f>
        <v/>
      </c>
      <c r="H286" s="12">
        <f>Calculator!$B$4*Calculator!$B$6/100*C286</f>
        <v/>
      </c>
      <c r="I286" s="12">
        <f>Calculator!$B$4*Calculator!$B$7/100*D286</f>
        <v/>
      </c>
      <c r="J286" s="12">
        <f>Calculator!$B$4*Calculator!$B$8/100*E286</f>
        <v/>
      </c>
      <c r="K286" s="12">
        <f>SUM(G286:J286)</f>
        <v/>
      </c>
      <c r="L286" s="12">
        <f>K286/F286</f>
        <v/>
      </c>
      <c r="M286" s="12">
        <f>MAX(M285,K286)</f>
        <v/>
      </c>
      <c r="N286" s="13">
        <f>K286/M286-1</f>
        <v/>
      </c>
      <c r="O286" s="12">
        <f>Calculator!$B$4*B286</f>
        <v/>
      </c>
      <c r="P286" s="12">
        <f>Calculator!$B$4*C286</f>
        <v/>
      </c>
      <c r="Q286" s="12">
        <f>Calculator!$B$4*D286</f>
        <v/>
      </c>
      <c r="R286" s="12">
        <f>Calculator!$B$4*F286</f>
        <v/>
      </c>
    </row>
    <row r="287">
      <c r="A287" s="6">
        <f>Data!A287</f>
        <v/>
      </c>
      <c r="B287" s="16">
        <f>Data!C287/Data!$C$5</f>
        <v/>
      </c>
      <c r="C287" s="16">
        <f>Data!G287/Data!$G$5</f>
        <v/>
      </c>
      <c r="D287" s="16">
        <f>D286*(1+Data!I287/100)</f>
        <v/>
      </c>
      <c r="E287" s="16" t="n">
        <v>1</v>
      </c>
      <c r="F287" s="16">
        <f>F286*(1+Data!H287/100)^(1/12)</f>
        <v/>
      </c>
      <c r="G287" s="12">
        <f>Calculator!$B$4*Calculator!$B$5/100*B287</f>
        <v/>
      </c>
      <c r="H287" s="12">
        <f>Calculator!$B$4*Calculator!$B$6/100*C287</f>
        <v/>
      </c>
      <c r="I287" s="12">
        <f>Calculator!$B$4*Calculator!$B$7/100*D287</f>
        <v/>
      </c>
      <c r="J287" s="12">
        <f>Calculator!$B$4*Calculator!$B$8/100*E287</f>
        <v/>
      </c>
      <c r="K287" s="12">
        <f>SUM(G287:J287)</f>
        <v/>
      </c>
      <c r="L287" s="12">
        <f>K287/F287</f>
        <v/>
      </c>
      <c r="M287" s="12">
        <f>MAX(M286,K287)</f>
        <v/>
      </c>
      <c r="N287" s="13">
        <f>K287/M287-1</f>
        <v/>
      </c>
      <c r="O287" s="12">
        <f>Calculator!$B$4*B287</f>
        <v/>
      </c>
      <c r="P287" s="12">
        <f>Calculator!$B$4*C287</f>
        <v/>
      </c>
      <c r="Q287" s="12">
        <f>Calculator!$B$4*D287</f>
        <v/>
      </c>
      <c r="R287" s="12">
        <f>Calculator!$B$4*F287</f>
        <v/>
      </c>
    </row>
    <row r="288">
      <c r="A288" s="6">
        <f>Data!A288</f>
        <v/>
      </c>
      <c r="B288" s="16">
        <f>Data!C288/Data!$C$5</f>
        <v/>
      </c>
      <c r="C288" s="16">
        <f>Data!G288/Data!$G$5</f>
        <v/>
      </c>
      <c r="D288" s="16">
        <f>D287*(1+Data!I288/100)</f>
        <v/>
      </c>
      <c r="E288" s="16" t="n">
        <v>1</v>
      </c>
      <c r="F288" s="16">
        <f>F287*(1+Data!H288/100)^(1/12)</f>
        <v/>
      </c>
      <c r="G288" s="12">
        <f>Calculator!$B$4*Calculator!$B$5/100*B288</f>
        <v/>
      </c>
      <c r="H288" s="12">
        <f>Calculator!$B$4*Calculator!$B$6/100*C288</f>
        <v/>
      </c>
      <c r="I288" s="12">
        <f>Calculator!$B$4*Calculator!$B$7/100*D288</f>
        <v/>
      </c>
      <c r="J288" s="12">
        <f>Calculator!$B$4*Calculator!$B$8/100*E288</f>
        <v/>
      </c>
      <c r="K288" s="12">
        <f>SUM(G288:J288)</f>
        <v/>
      </c>
      <c r="L288" s="12">
        <f>K288/F288</f>
        <v/>
      </c>
      <c r="M288" s="12">
        <f>MAX(M287,K288)</f>
        <v/>
      </c>
      <c r="N288" s="13">
        <f>K288/M288-1</f>
        <v/>
      </c>
      <c r="O288" s="12">
        <f>Calculator!$B$4*B288</f>
        <v/>
      </c>
      <c r="P288" s="12">
        <f>Calculator!$B$4*C288</f>
        <v/>
      </c>
      <c r="Q288" s="12">
        <f>Calculator!$B$4*D288</f>
        <v/>
      </c>
      <c r="R288" s="12">
        <f>Calculator!$B$4*F288</f>
        <v/>
      </c>
    </row>
    <row r="289">
      <c r="A289" s="6">
        <f>Data!A289</f>
        <v/>
      </c>
      <c r="B289" s="16">
        <f>Data!C289/Data!$C$5</f>
        <v/>
      </c>
      <c r="C289" s="16">
        <f>Data!G289/Data!$G$5</f>
        <v/>
      </c>
      <c r="D289" s="16">
        <f>D288*(1+Data!I289/100)</f>
        <v/>
      </c>
      <c r="E289" s="16" t="n">
        <v>1</v>
      </c>
      <c r="F289" s="16">
        <f>F288*(1+Data!H289/100)^(1/12)</f>
        <v/>
      </c>
      <c r="G289" s="12">
        <f>Calculator!$B$4*Calculator!$B$5/100*B289</f>
        <v/>
      </c>
      <c r="H289" s="12">
        <f>Calculator!$B$4*Calculator!$B$6/100*C289</f>
        <v/>
      </c>
      <c r="I289" s="12">
        <f>Calculator!$B$4*Calculator!$B$7/100*D289</f>
        <v/>
      </c>
      <c r="J289" s="12">
        <f>Calculator!$B$4*Calculator!$B$8/100*E289</f>
        <v/>
      </c>
      <c r="K289" s="12">
        <f>SUM(G289:J289)</f>
        <v/>
      </c>
      <c r="L289" s="12">
        <f>K289/F289</f>
        <v/>
      </c>
      <c r="M289" s="12">
        <f>MAX(M288,K289)</f>
        <v/>
      </c>
      <c r="N289" s="13">
        <f>K289/M289-1</f>
        <v/>
      </c>
      <c r="O289" s="12">
        <f>Calculator!$B$4*B289</f>
        <v/>
      </c>
      <c r="P289" s="12">
        <f>Calculator!$B$4*C289</f>
        <v/>
      </c>
      <c r="Q289" s="12">
        <f>Calculator!$B$4*D289</f>
        <v/>
      </c>
      <c r="R289" s="12">
        <f>Calculator!$B$4*F289</f>
        <v/>
      </c>
    </row>
    <row r="290">
      <c r="A290" s="6">
        <f>Data!A290</f>
        <v/>
      </c>
      <c r="B290" s="16">
        <f>Data!C290/Data!$C$5</f>
        <v/>
      </c>
      <c r="C290" s="16">
        <f>Data!G290/Data!$G$5</f>
        <v/>
      </c>
      <c r="D290" s="16">
        <f>D289*(1+Data!I290/100)</f>
        <v/>
      </c>
      <c r="E290" s="16" t="n">
        <v>1</v>
      </c>
      <c r="F290" s="16">
        <f>F289*(1+Data!H290/100)^(1/12)</f>
        <v/>
      </c>
      <c r="G290" s="12">
        <f>Calculator!$B$4*Calculator!$B$5/100*B290</f>
        <v/>
      </c>
      <c r="H290" s="12">
        <f>Calculator!$B$4*Calculator!$B$6/100*C290</f>
        <v/>
      </c>
      <c r="I290" s="12">
        <f>Calculator!$B$4*Calculator!$B$7/100*D290</f>
        <v/>
      </c>
      <c r="J290" s="12">
        <f>Calculator!$B$4*Calculator!$B$8/100*E290</f>
        <v/>
      </c>
      <c r="K290" s="12">
        <f>SUM(G290:J290)</f>
        <v/>
      </c>
      <c r="L290" s="12">
        <f>K290/F290</f>
        <v/>
      </c>
      <c r="M290" s="12">
        <f>MAX(M289,K290)</f>
        <v/>
      </c>
      <c r="N290" s="13">
        <f>K290/M290-1</f>
        <v/>
      </c>
      <c r="O290" s="12">
        <f>Calculator!$B$4*B290</f>
        <v/>
      </c>
      <c r="P290" s="12">
        <f>Calculator!$B$4*C290</f>
        <v/>
      </c>
      <c r="Q290" s="12">
        <f>Calculator!$B$4*D290</f>
        <v/>
      </c>
      <c r="R290" s="12">
        <f>Calculator!$B$4*F290</f>
        <v/>
      </c>
    </row>
    <row r="291">
      <c r="A291" s="6">
        <f>Data!A291</f>
        <v/>
      </c>
      <c r="B291" s="16">
        <f>Data!C291/Data!$C$5</f>
        <v/>
      </c>
      <c r="C291" s="16">
        <f>Data!G291/Data!$G$5</f>
        <v/>
      </c>
      <c r="D291" s="16">
        <f>D290*(1+Data!I291/100)</f>
        <v/>
      </c>
      <c r="E291" s="16" t="n">
        <v>1</v>
      </c>
      <c r="F291" s="16">
        <f>F290*(1+Data!H291/100)^(1/12)</f>
        <v/>
      </c>
      <c r="G291" s="12">
        <f>Calculator!$B$4*Calculator!$B$5/100*B291</f>
        <v/>
      </c>
      <c r="H291" s="12">
        <f>Calculator!$B$4*Calculator!$B$6/100*C291</f>
        <v/>
      </c>
      <c r="I291" s="12">
        <f>Calculator!$B$4*Calculator!$B$7/100*D291</f>
        <v/>
      </c>
      <c r="J291" s="12">
        <f>Calculator!$B$4*Calculator!$B$8/100*E291</f>
        <v/>
      </c>
      <c r="K291" s="12">
        <f>SUM(G291:J291)</f>
        <v/>
      </c>
      <c r="L291" s="12">
        <f>K291/F291</f>
        <v/>
      </c>
      <c r="M291" s="12">
        <f>MAX(M290,K291)</f>
        <v/>
      </c>
      <c r="N291" s="13">
        <f>K291/M291-1</f>
        <v/>
      </c>
      <c r="O291" s="12">
        <f>Calculator!$B$4*B291</f>
        <v/>
      </c>
      <c r="P291" s="12">
        <f>Calculator!$B$4*C291</f>
        <v/>
      </c>
      <c r="Q291" s="12">
        <f>Calculator!$B$4*D291</f>
        <v/>
      </c>
      <c r="R291" s="12">
        <f>Calculator!$B$4*F291</f>
        <v/>
      </c>
    </row>
    <row r="292">
      <c r="A292" s="6">
        <f>Data!A292</f>
        <v/>
      </c>
      <c r="B292" s="16">
        <f>Data!C292/Data!$C$5</f>
        <v/>
      </c>
      <c r="C292" s="16">
        <f>Data!G292/Data!$G$5</f>
        <v/>
      </c>
      <c r="D292" s="16">
        <f>D291*(1+Data!I292/100)</f>
        <v/>
      </c>
      <c r="E292" s="16" t="n">
        <v>1</v>
      </c>
      <c r="F292" s="16">
        <f>F291*(1+Data!H292/100)^(1/12)</f>
        <v/>
      </c>
      <c r="G292" s="12">
        <f>Calculator!$B$4*Calculator!$B$5/100*B292</f>
        <v/>
      </c>
      <c r="H292" s="12">
        <f>Calculator!$B$4*Calculator!$B$6/100*C292</f>
        <v/>
      </c>
      <c r="I292" s="12">
        <f>Calculator!$B$4*Calculator!$B$7/100*D292</f>
        <v/>
      </c>
      <c r="J292" s="12">
        <f>Calculator!$B$4*Calculator!$B$8/100*E292</f>
        <v/>
      </c>
      <c r="K292" s="12">
        <f>SUM(G292:J292)</f>
        <v/>
      </c>
      <c r="L292" s="12">
        <f>K292/F292</f>
        <v/>
      </c>
      <c r="M292" s="12">
        <f>MAX(M291,K292)</f>
        <v/>
      </c>
      <c r="N292" s="13">
        <f>K292/M292-1</f>
        <v/>
      </c>
      <c r="O292" s="12">
        <f>Calculator!$B$4*B292</f>
        <v/>
      </c>
      <c r="P292" s="12">
        <f>Calculator!$B$4*C292</f>
        <v/>
      </c>
      <c r="Q292" s="12">
        <f>Calculator!$B$4*D292</f>
        <v/>
      </c>
      <c r="R292" s="12">
        <f>Calculator!$B$4*F292</f>
        <v/>
      </c>
    </row>
    <row r="293">
      <c r="A293" s="6">
        <f>Data!A293</f>
        <v/>
      </c>
      <c r="B293" s="16">
        <f>Data!C293/Data!$C$5</f>
        <v/>
      </c>
      <c r="C293" s="16">
        <f>Data!G293/Data!$G$5</f>
        <v/>
      </c>
      <c r="D293" s="16">
        <f>D292*(1+Data!I293/100)</f>
        <v/>
      </c>
      <c r="E293" s="16" t="n">
        <v>1</v>
      </c>
      <c r="F293" s="16">
        <f>F292*(1+Data!H293/100)^(1/12)</f>
        <v/>
      </c>
      <c r="G293" s="12">
        <f>Calculator!$B$4*Calculator!$B$5/100*B293</f>
        <v/>
      </c>
      <c r="H293" s="12">
        <f>Calculator!$B$4*Calculator!$B$6/100*C293</f>
        <v/>
      </c>
      <c r="I293" s="12">
        <f>Calculator!$B$4*Calculator!$B$7/100*D293</f>
        <v/>
      </c>
      <c r="J293" s="12">
        <f>Calculator!$B$4*Calculator!$B$8/100*E293</f>
        <v/>
      </c>
      <c r="K293" s="12">
        <f>SUM(G293:J293)</f>
        <v/>
      </c>
      <c r="L293" s="12">
        <f>K293/F293</f>
        <v/>
      </c>
      <c r="M293" s="12">
        <f>MAX(M292,K293)</f>
        <v/>
      </c>
      <c r="N293" s="13">
        <f>K293/M293-1</f>
        <v/>
      </c>
      <c r="O293" s="12">
        <f>Calculator!$B$4*B293</f>
        <v/>
      </c>
      <c r="P293" s="12">
        <f>Calculator!$B$4*C293</f>
        <v/>
      </c>
      <c r="Q293" s="12">
        <f>Calculator!$B$4*D293</f>
        <v/>
      </c>
      <c r="R293" s="12">
        <f>Calculator!$B$4*F293</f>
        <v/>
      </c>
    </row>
    <row r="294">
      <c r="A294" s="6">
        <f>Data!A294</f>
        <v/>
      </c>
      <c r="B294" s="16">
        <f>Data!C294/Data!$C$5</f>
        <v/>
      </c>
      <c r="C294" s="16">
        <f>Data!G294/Data!$G$5</f>
        <v/>
      </c>
      <c r="D294" s="16">
        <f>D293*(1+Data!I294/100)</f>
        <v/>
      </c>
      <c r="E294" s="16" t="n">
        <v>1</v>
      </c>
      <c r="F294" s="16">
        <f>F293*(1+Data!H294/100)^(1/12)</f>
        <v/>
      </c>
      <c r="G294" s="12">
        <f>Calculator!$B$4*Calculator!$B$5/100*B294</f>
        <v/>
      </c>
      <c r="H294" s="12">
        <f>Calculator!$B$4*Calculator!$B$6/100*C294</f>
        <v/>
      </c>
      <c r="I294" s="12">
        <f>Calculator!$B$4*Calculator!$B$7/100*D294</f>
        <v/>
      </c>
      <c r="J294" s="12">
        <f>Calculator!$B$4*Calculator!$B$8/100*E294</f>
        <v/>
      </c>
      <c r="K294" s="12">
        <f>SUM(G294:J294)</f>
        <v/>
      </c>
      <c r="L294" s="12">
        <f>K294/F294</f>
        <v/>
      </c>
      <c r="M294" s="12">
        <f>MAX(M293,K294)</f>
        <v/>
      </c>
      <c r="N294" s="13">
        <f>K294/M294-1</f>
        <v/>
      </c>
      <c r="O294" s="12">
        <f>Calculator!$B$4*B294</f>
        <v/>
      </c>
      <c r="P294" s="12">
        <f>Calculator!$B$4*C294</f>
        <v/>
      </c>
      <c r="Q294" s="12">
        <f>Calculator!$B$4*D294</f>
        <v/>
      </c>
      <c r="R294" s="12">
        <f>Calculator!$B$4*F294</f>
        <v/>
      </c>
    </row>
    <row r="295">
      <c r="A295" s="6">
        <f>Data!A295</f>
        <v/>
      </c>
      <c r="B295" s="16">
        <f>Data!C295/Data!$C$5</f>
        <v/>
      </c>
      <c r="C295" s="16">
        <f>Data!G295/Data!$G$5</f>
        <v/>
      </c>
      <c r="D295" s="16">
        <f>D294*(1+Data!I295/100)</f>
        <v/>
      </c>
      <c r="E295" s="16" t="n">
        <v>1</v>
      </c>
      <c r="F295" s="16">
        <f>F294*(1+Data!H295/100)^(1/12)</f>
        <v/>
      </c>
      <c r="G295" s="12">
        <f>Calculator!$B$4*Calculator!$B$5/100*B295</f>
        <v/>
      </c>
      <c r="H295" s="12">
        <f>Calculator!$B$4*Calculator!$B$6/100*C295</f>
        <v/>
      </c>
      <c r="I295" s="12">
        <f>Calculator!$B$4*Calculator!$B$7/100*D295</f>
        <v/>
      </c>
      <c r="J295" s="12">
        <f>Calculator!$B$4*Calculator!$B$8/100*E295</f>
        <v/>
      </c>
      <c r="K295" s="12">
        <f>SUM(G295:J295)</f>
        <v/>
      </c>
      <c r="L295" s="12">
        <f>K295/F295</f>
        <v/>
      </c>
      <c r="M295" s="12">
        <f>MAX(M294,K295)</f>
        <v/>
      </c>
      <c r="N295" s="13">
        <f>K295/M295-1</f>
        <v/>
      </c>
      <c r="O295" s="12">
        <f>Calculator!$B$4*B295</f>
        <v/>
      </c>
      <c r="P295" s="12">
        <f>Calculator!$B$4*C295</f>
        <v/>
      </c>
      <c r="Q295" s="12">
        <f>Calculator!$B$4*D295</f>
        <v/>
      </c>
      <c r="R295" s="12">
        <f>Calculator!$B$4*F295</f>
        <v/>
      </c>
    </row>
    <row r="296">
      <c r="A296" s="6">
        <f>Data!A296</f>
        <v/>
      </c>
      <c r="B296" s="16">
        <f>Data!C296/Data!$C$5</f>
        <v/>
      </c>
      <c r="C296" s="16">
        <f>Data!G296/Data!$G$5</f>
        <v/>
      </c>
      <c r="D296" s="16">
        <f>D295*(1+Data!I296/100)</f>
        <v/>
      </c>
      <c r="E296" s="16" t="n">
        <v>1</v>
      </c>
      <c r="F296" s="16">
        <f>F295*(1+Data!H296/100)^(1/12)</f>
        <v/>
      </c>
      <c r="G296" s="12">
        <f>Calculator!$B$4*Calculator!$B$5/100*B296</f>
        <v/>
      </c>
      <c r="H296" s="12">
        <f>Calculator!$B$4*Calculator!$B$6/100*C296</f>
        <v/>
      </c>
      <c r="I296" s="12">
        <f>Calculator!$B$4*Calculator!$B$7/100*D296</f>
        <v/>
      </c>
      <c r="J296" s="12">
        <f>Calculator!$B$4*Calculator!$B$8/100*E296</f>
        <v/>
      </c>
      <c r="K296" s="12">
        <f>SUM(G296:J296)</f>
        <v/>
      </c>
      <c r="L296" s="12">
        <f>K296/F296</f>
        <v/>
      </c>
      <c r="M296" s="12">
        <f>MAX(M295,K296)</f>
        <v/>
      </c>
      <c r="N296" s="13">
        <f>K296/M296-1</f>
        <v/>
      </c>
      <c r="O296" s="12">
        <f>Calculator!$B$4*B296</f>
        <v/>
      </c>
      <c r="P296" s="12">
        <f>Calculator!$B$4*C296</f>
        <v/>
      </c>
      <c r="Q296" s="12">
        <f>Calculator!$B$4*D296</f>
        <v/>
      </c>
      <c r="R296" s="12">
        <f>Calculator!$B$4*F296</f>
        <v/>
      </c>
    </row>
    <row r="297">
      <c r="A297" s="6">
        <f>Data!A297</f>
        <v/>
      </c>
      <c r="B297" s="16">
        <f>Data!C297/Data!$C$5</f>
        <v/>
      </c>
      <c r="C297" s="16">
        <f>Data!G297/Data!$G$5</f>
        <v/>
      </c>
      <c r="D297" s="16">
        <f>D296*(1+Data!I297/100)</f>
        <v/>
      </c>
      <c r="E297" s="16" t="n">
        <v>1</v>
      </c>
      <c r="F297" s="16">
        <f>F296*(1+Data!H297/100)^(1/12)</f>
        <v/>
      </c>
      <c r="G297" s="12">
        <f>Calculator!$B$4*Calculator!$B$5/100*B297</f>
        <v/>
      </c>
      <c r="H297" s="12">
        <f>Calculator!$B$4*Calculator!$B$6/100*C297</f>
        <v/>
      </c>
      <c r="I297" s="12">
        <f>Calculator!$B$4*Calculator!$B$7/100*D297</f>
        <v/>
      </c>
      <c r="J297" s="12">
        <f>Calculator!$B$4*Calculator!$B$8/100*E297</f>
        <v/>
      </c>
      <c r="K297" s="12">
        <f>SUM(G297:J297)</f>
        <v/>
      </c>
      <c r="L297" s="12">
        <f>K297/F297</f>
        <v/>
      </c>
      <c r="M297" s="12">
        <f>MAX(M296,K297)</f>
        <v/>
      </c>
      <c r="N297" s="13">
        <f>K297/M297-1</f>
        <v/>
      </c>
      <c r="O297" s="12">
        <f>Calculator!$B$4*B297</f>
        <v/>
      </c>
      <c r="P297" s="12">
        <f>Calculator!$B$4*C297</f>
        <v/>
      </c>
      <c r="Q297" s="12">
        <f>Calculator!$B$4*D297</f>
        <v/>
      </c>
      <c r="R297" s="12">
        <f>Calculator!$B$4*F297</f>
        <v/>
      </c>
    </row>
    <row r="298">
      <c r="A298" s="6">
        <f>Data!A298</f>
        <v/>
      </c>
      <c r="B298" s="16">
        <f>Data!C298/Data!$C$5</f>
        <v/>
      </c>
      <c r="C298" s="16">
        <f>Data!G298/Data!$G$5</f>
        <v/>
      </c>
      <c r="D298" s="16">
        <f>D297*(1+Data!I298/100)</f>
        <v/>
      </c>
      <c r="E298" s="16" t="n">
        <v>1</v>
      </c>
      <c r="F298" s="16">
        <f>F297*(1+Data!H298/100)^(1/12)</f>
        <v/>
      </c>
      <c r="G298" s="12">
        <f>Calculator!$B$4*Calculator!$B$5/100*B298</f>
        <v/>
      </c>
      <c r="H298" s="12">
        <f>Calculator!$B$4*Calculator!$B$6/100*C298</f>
        <v/>
      </c>
      <c r="I298" s="12">
        <f>Calculator!$B$4*Calculator!$B$7/100*D298</f>
        <v/>
      </c>
      <c r="J298" s="12">
        <f>Calculator!$B$4*Calculator!$B$8/100*E298</f>
        <v/>
      </c>
      <c r="K298" s="12">
        <f>SUM(G298:J298)</f>
        <v/>
      </c>
      <c r="L298" s="12">
        <f>K298/F298</f>
        <v/>
      </c>
      <c r="M298" s="12">
        <f>MAX(M297,K298)</f>
        <v/>
      </c>
      <c r="N298" s="13">
        <f>K298/M298-1</f>
        <v/>
      </c>
      <c r="O298" s="12">
        <f>Calculator!$B$4*B298</f>
        <v/>
      </c>
      <c r="P298" s="12">
        <f>Calculator!$B$4*C298</f>
        <v/>
      </c>
      <c r="Q298" s="12">
        <f>Calculator!$B$4*D298</f>
        <v/>
      </c>
      <c r="R298" s="12">
        <f>Calculator!$B$4*F298</f>
        <v/>
      </c>
    </row>
    <row r="299">
      <c r="A299" s="6">
        <f>Data!A299</f>
        <v/>
      </c>
      <c r="B299" s="16">
        <f>Data!C299/Data!$C$5</f>
        <v/>
      </c>
      <c r="C299" s="16">
        <f>Data!G299/Data!$G$5</f>
        <v/>
      </c>
      <c r="D299" s="16">
        <f>D298*(1+Data!I299/100)</f>
        <v/>
      </c>
      <c r="E299" s="16" t="n">
        <v>1</v>
      </c>
      <c r="F299" s="16">
        <f>F298*(1+Data!H299/100)^(1/12)</f>
        <v/>
      </c>
      <c r="G299" s="12">
        <f>Calculator!$B$4*Calculator!$B$5/100*B299</f>
        <v/>
      </c>
      <c r="H299" s="12">
        <f>Calculator!$B$4*Calculator!$B$6/100*C299</f>
        <v/>
      </c>
      <c r="I299" s="12">
        <f>Calculator!$B$4*Calculator!$B$7/100*D299</f>
        <v/>
      </c>
      <c r="J299" s="12">
        <f>Calculator!$B$4*Calculator!$B$8/100*E299</f>
        <v/>
      </c>
      <c r="K299" s="12">
        <f>SUM(G299:J299)</f>
        <v/>
      </c>
      <c r="L299" s="12">
        <f>K299/F299</f>
        <v/>
      </c>
      <c r="M299" s="12">
        <f>MAX(M298,K299)</f>
        <v/>
      </c>
      <c r="N299" s="13">
        <f>K299/M299-1</f>
        <v/>
      </c>
      <c r="O299" s="12">
        <f>Calculator!$B$4*B299</f>
        <v/>
      </c>
      <c r="P299" s="12">
        <f>Calculator!$B$4*C299</f>
        <v/>
      </c>
      <c r="Q299" s="12">
        <f>Calculator!$B$4*D299</f>
        <v/>
      </c>
      <c r="R299" s="12">
        <f>Calculator!$B$4*F299</f>
        <v/>
      </c>
    </row>
    <row r="300">
      <c r="A300" s="6">
        <f>Data!A300</f>
        <v/>
      </c>
      <c r="B300" s="16">
        <f>Data!C300/Data!$C$5</f>
        <v/>
      </c>
      <c r="C300" s="16">
        <f>Data!G300/Data!$G$5</f>
        <v/>
      </c>
      <c r="D300" s="16">
        <f>D299*(1+Data!I300/100)</f>
        <v/>
      </c>
      <c r="E300" s="16" t="n">
        <v>1</v>
      </c>
      <c r="F300" s="16">
        <f>F299*(1+Data!H300/100)^(1/12)</f>
        <v/>
      </c>
      <c r="G300" s="12">
        <f>Calculator!$B$4*Calculator!$B$5/100*B300</f>
        <v/>
      </c>
      <c r="H300" s="12">
        <f>Calculator!$B$4*Calculator!$B$6/100*C300</f>
        <v/>
      </c>
      <c r="I300" s="12">
        <f>Calculator!$B$4*Calculator!$B$7/100*D300</f>
        <v/>
      </c>
      <c r="J300" s="12">
        <f>Calculator!$B$4*Calculator!$B$8/100*E300</f>
        <v/>
      </c>
      <c r="K300" s="12">
        <f>SUM(G300:J300)</f>
        <v/>
      </c>
      <c r="L300" s="12">
        <f>K300/F300</f>
        <v/>
      </c>
      <c r="M300" s="12">
        <f>MAX(M299,K300)</f>
        <v/>
      </c>
      <c r="N300" s="13">
        <f>K300/M300-1</f>
        <v/>
      </c>
      <c r="O300" s="12">
        <f>Calculator!$B$4*B300</f>
        <v/>
      </c>
      <c r="P300" s="12">
        <f>Calculator!$B$4*C300</f>
        <v/>
      </c>
      <c r="Q300" s="12">
        <f>Calculator!$B$4*D300</f>
        <v/>
      </c>
      <c r="R300" s="12">
        <f>Calculator!$B$4*F300</f>
        <v/>
      </c>
    </row>
    <row r="301">
      <c r="A301" s="6">
        <f>Data!A301</f>
        <v/>
      </c>
      <c r="B301" s="16">
        <f>Data!C301/Data!$C$5</f>
        <v/>
      </c>
      <c r="C301" s="16">
        <f>Data!G301/Data!$G$5</f>
        <v/>
      </c>
      <c r="D301" s="16">
        <f>D300*(1+Data!I301/100)</f>
        <v/>
      </c>
      <c r="E301" s="16" t="n">
        <v>1</v>
      </c>
      <c r="F301" s="16">
        <f>F300*(1+Data!H301/100)^(1/12)</f>
        <v/>
      </c>
      <c r="G301" s="12">
        <f>Calculator!$B$4*Calculator!$B$5/100*B301</f>
        <v/>
      </c>
      <c r="H301" s="12">
        <f>Calculator!$B$4*Calculator!$B$6/100*C301</f>
        <v/>
      </c>
      <c r="I301" s="12">
        <f>Calculator!$B$4*Calculator!$B$7/100*D301</f>
        <v/>
      </c>
      <c r="J301" s="12">
        <f>Calculator!$B$4*Calculator!$B$8/100*E301</f>
        <v/>
      </c>
      <c r="K301" s="12">
        <f>SUM(G301:J301)</f>
        <v/>
      </c>
      <c r="L301" s="12">
        <f>K301/F301</f>
        <v/>
      </c>
      <c r="M301" s="12">
        <f>MAX(M300,K301)</f>
        <v/>
      </c>
      <c r="N301" s="13">
        <f>K301/M301-1</f>
        <v/>
      </c>
      <c r="O301" s="12">
        <f>Calculator!$B$4*B301</f>
        <v/>
      </c>
      <c r="P301" s="12">
        <f>Calculator!$B$4*C301</f>
        <v/>
      </c>
      <c r="Q301" s="12">
        <f>Calculator!$B$4*D301</f>
        <v/>
      </c>
      <c r="R301" s="12">
        <f>Calculator!$B$4*F301</f>
        <v/>
      </c>
    </row>
    <row r="302">
      <c r="A302" s="6">
        <f>Data!A302</f>
        <v/>
      </c>
      <c r="B302" s="16">
        <f>Data!C302/Data!$C$5</f>
        <v/>
      </c>
      <c r="C302" s="16">
        <f>Data!G302/Data!$G$5</f>
        <v/>
      </c>
      <c r="D302" s="16">
        <f>D301*(1+Data!I302/100)</f>
        <v/>
      </c>
      <c r="E302" s="16" t="n">
        <v>1</v>
      </c>
      <c r="F302" s="16">
        <f>F301*(1+Data!H302/100)^(1/12)</f>
        <v/>
      </c>
      <c r="G302" s="12">
        <f>Calculator!$B$4*Calculator!$B$5/100*B302</f>
        <v/>
      </c>
      <c r="H302" s="12">
        <f>Calculator!$B$4*Calculator!$B$6/100*C302</f>
        <v/>
      </c>
      <c r="I302" s="12">
        <f>Calculator!$B$4*Calculator!$B$7/100*D302</f>
        <v/>
      </c>
      <c r="J302" s="12">
        <f>Calculator!$B$4*Calculator!$B$8/100*E302</f>
        <v/>
      </c>
      <c r="K302" s="12">
        <f>SUM(G302:J302)</f>
        <v/>
      </c>
      <c r="L302" s="12">
        <f>K302/F302</f>
        <v/>
      </c>
      <c r="M302" s="12">
        <f>MAX(M301,K302)</f>
        <v/>
      </c>
      <c r="N302" s="13">
        <f>K302/M302-1</f>
        <v/>
      </c>
      <c r="O302" s="12">
        <f>Calculator!$B$4*B302</f>
        <v/>
      </c>
      <c r="P302" s="12">
        <f>Calculator!$B$4*C302</f>
        <v/>
      </c>
      <c r="Q302" s="12">
        <f>Calculator!$B$4*D302</f>
        <v/>
      </c>
      <c r="R302" s="12">
        <f>Calculator!$B$4*F302</f>
        <v/>
      </c>
    </row>
    <row r="303">
      <c r="A303" s="6">
        <f>Data!A303</f>
        <v/>
      </c>
      <c r="B303" s="16">
        <f>Data!C303/Data!$C$5</f>
        <v/>
      </c>
      <c r="C303" s="16">
        <f>Data!G303/Data!$G$5</f>
        <v/>
      </c>
      <c r="D303" s="16">
        <f>D302*(1+Data!I303/100)</f>
        <v/>
      </c>
      <c r="E303" s="16" t="n">
        <v>1</v>
      </c>
      <c r="F303" s="16">
        <f>F302*(1+Data!H303/100)^(1/12)</f>
        <v/>
      </c>
      <c r="G303" s="12">
        <f>Calculator!$B$4*Calculator!$B$5/100*B303</f>
        <v/>
      </c>
      <c r="H303" s="12">
        <f>Calculator!$B$4*Calculator!$B$6/100*C303</f>
        <v/>
      </c>
      <c r="I303" s="12">
        <f>Calculator!$B$4*Calculator!$B$7/100*D303</f>
        <v/>
      </c>
      <c r="J303" s="12">
        <f>Calculator!$B$4*Calculator!$B$8/100*E303</f>
        <v/>
      </c>
      <c r="K303" s="12">
        <f>SUM(G303:J303)</f>
        <v/>
      </c>
      <c r="L303" s="12">
        <f>K303/F303</f>
        <v/>
      </c>
      <c r="M303" s="12">
        <f>MAX(M302,K303)</f>
        <v/>
      </c>
      <c r="N303" s="13">
        <f>K303/M303-1</f>
        <v/>
      </c>
      <c r="O303" s="12">
        <f>Calculator!$B$4*B303</f>
        <v/>
      </c>
      <c r="P303" s="12">
        <f>Calculator!$B$4*C303</f>
        <v/>
      </c>
      <c r="Q303" s="12">
        <f>Calculator!$B$4*D303</f>
        <v/>
      </c>
      <c r="R303" s="12">
        <f>Calculator!$B$4*F303</f>
        <v/>
      </c>
    </row>
    <row r="304">
      <c r="A304" s="6">
        <f>Data!A304</f>
        <v/>
      </c>
      <c r="B304" s="16">
        <f>Data!C304/Data!$C$5</f>
        <v/>
      </c>
      <c r="C304" s="16">
        <f>Data!G304/Data!$G$5</f>
        <v/>
      </c>
      <c r="D304" s="16">
        <f>D303*(1+Data!I304/100)</f>
        <v/>
      </c>
      <c r="E304" s="16" t="n">
        <v>1</v>
      </c>
      <c r="F304" s="16">
        <f>F303*(1+Data!H304/100)^(1/12)</f>
        <v/>
      </c>
      <c r="G304" s="12">
        <f>Calculator!$B$4*Calculator!$B$5/100*B304</f>
        <v/>
      </c>
      <c r="H304" s="12">
        <f>Calculator!$B$4*Calculator!$B$6/100*C304</f>
        <v/>
      </c>
      <c r="I304" s="12">
        <f>Calculator!$B$4*Calculator!$B$7/100*D304</f>
        <v/>
      </c>
      <c r="J304" s="12">
        <f>Calculator!$B$4*Calculator!$B$8/100*E304</f>
        <v/>
      </c>
      <c r="K304" s="12">
        <f>SUM(G304:J304)</f>
        <v/>
      </c>
      <c r="L304" s="12">
        <f>K304/F304</f>
        <v/>
      </c>
      <c r="M304" s="12">
        <f>MAX(M303,K304)</f>
        <v/>
      </c>
      <c r="N304" s="13">
        <f>K304/M304-1</f>
        <v/>
      </c>
      <c r="O304" s="12">
        <f>Calculator!$B$4*B304</f>
        <v/>
      </c>
      <c r="P304" s="12">
        <f>Calculator!$B$4*C304</f>
        <v/>
      </c>
      <c r="Q304" s="12">
        <f>Calculator!$B$4*D304</f>
        <v/>
      </c>
      <c r="R304" s="12">
        <f>Calculator!$B$4*F304</f>
        <v/>
      </c>
    </row>
    <row r="305">
      <c r="A305" s="6">
        <f>Data!A305</f>
        <v/>
      </c>
      <c r="B305" s="16">
        <f>Data!C305/Data!$C$5</f>
        <v/>
      </c>
      <c r="C305" s="16">
        <f>Data!G305/Data!$G$5</f>
        <v/>
      </c>
      <c r="D305" s="16">
        <f>D304*(1+Data!I305/100)</f>
        <v/>
      </c>
      <c r="E305" s="16" t="n">
        <v>1</v>
      </c>
      <c r="F305" s="16">
        <f>F304*(1+Data!H305/100)^(1/12)</f>
        <v/>
      </c>
      <c r="G305" s="12">
        <f>Calculator!$B$4*Calculator!$B$5/100*B305</f>
        <v/>
      </c>
      <c r="H305" s="12">
        <f>Calculator!$B$4*Calculator!$B$6/100*C305</f>
        <v/>
      </c>
      <c r="I305" s="12">
        <f>Calculator!$B$4*Calculator!$B$7/100*D305</f>
        <v/>
      </c>
      <c r="J305" s="12">
        <f>Calculator!$B$4*Calculator!$B$8/100*E305</f>
        <v/>
      </c>
      <c r="K305" s="12">
        <f>SUM(G305:J305)</f>
        <v/>
      </c>
      <c r="L305" s="12">
        <f>K305/F305</f>
        <v/>
      </c>
      <c r="M305" s="12">
        <f>MAX(M304,K305)</f>
        <v/>
      </c>
      <c r="N305" s="13">
        <f>K305/M305-1</f>
        <v/>
      </c>
      <c r="O305" s="12">
        <f>Calculator!$B$4*B305</f>
        <v/>
      </c>
      <c r="P305" s="12">
        <f>Calculator!$B$4*C305</f>
        <v/>
      </c>
      <c r="Q305" s="12">
        <f>Calculator!$B$4*D305</f>
        <v/>
      </c>
      <c r="R305" s="12">
        <f>Calculator!$B$4*F305</f>
        <v/>
      </c>
    </row>
    <row r="306">
      <c r="A306" s="6">
        <f>Data!A306</f>
        <v/>
      </c>
      <c r="B306" s="16">
        <f>Data!C306/Data!$C$5</f>
        <v/>
      </c>
      <c r="C306" s="16">
        <f>Data!G306/Data!$G$5</f>
        <v/>
      </c>
      <c r="D306" s="16">
        <f>D305*(1+Data!I306/100)</f>
        <v/>
      </c>
      <c r="E306" s="16" t="n">
        <v>1</v>
      </c>
      <c r="F306" s="16">
        <f>F305*(1+Data!H306/100)^(1/12)</f>
        <v/>
      </c>
      <c r="G306" s="12">
        <f>Calculator!$B$4*Calculator!$B$5/100*B306</f>
        <v/>
      </c>
      <c r="H306" s="12">
        <f>Calculator!$B$4*Calculator!$B$6/100*C306</f>
        <v/>
      </c>
      <c r="I306" s="12">
        <f>Calculator!$B$4*Calculator!$B$7/100*D306</f>
        <v/>
      </c>
      <c r="J306" s="12">
        <f>Calculator!$B$4*Calculator!$B$8/100*E306</f>
        <v/>
      </c>
      <c r="K306" s="12">
        <f>SUM(G306:J306)</f>
        <v/>
      </c>
      <c r="L306" s="12">
        <f>K306/F306</f>
        <v/>
      </c>
      <c r="M306" s="12">
        <f>MAX(M305,K306)</f>
        <v/>
      </c>
      <c r="N306" s="13">
        <f>K306/M306-1</f>
        <v/>
      </c>
      <c r="O306" s="12">
        <f>Calculator!$B$4*B306</f>
        <v/>
      </c>
      <c r="P306" s="12">
        <f>Calculator!$B$4*C306</f>
        <v/>
      </c>
      <c r="Q306" s="12">
        <f>Calculator!$B$4*D306</f>
        <v/>
      </c>
      <c r="R306" s="12">
        <f>Calculator!$B$4*F306</f>
        <v/>
      </c>
    </row>
    <row r="307">
      <c r="A307" s="6">
        <f>Data!A307</f>
        <v/>
      </c>
      <c r="B307" s="16">
        <f>Data!C307/Data!$C$5</f>
        <v/>
      </c>
      <c r="C307" s="16">
        <f>Data!G307/Data!$G$5</f>
        <v/>
      </c>
      <c r="D307" s="16">
        <f>D306*(1+Data!I307/100)</f>
        <v/>
      </c>
      <c r="E307" s="16" t="n">
        <v>1</v>
      </c>
      <c r="F307" s="16">
        <f>F306*(1+Data!H307/100)^(1/12)</f>
        <v/>
      </c>
      <c r="G307" s="12">
        <f>Calculator!$B$4*Calculator!$B$5/100*B307</f>
        <v/>
      </c>
      <c r="H307" s="12">
        <f>Calculator!$B$4*Calculator!$B$6/100*C307</f>
        <v/>
      </c>
      <c r="I307" s="12">
        <f>Calculator!$B$4*Calculator!$B$7/100*D307</f>
        <v/>
      </c>
      <c r="J307" s="12">
        <f>Calculator!$B$4*Calculator!$B$8/100*E307</f>
        <v/>
      </c>
      <c r="K307" s="12">
        <f>SUM(G307:J307)</f>
        <v/>
      </c>
      <c r="L307" s="12">
        <f>K307/F307</f>
        <v/>
      </c>
      <c r="M307" s="12">
        <f>MAX(M306,K307)</f>
        <v/>
      </c>
      <c r="N307" s="13">
        <f>K307/M307-1</f>
        <v/>
      </c>
      <c r="O307" s="12">
        <f>Calculator!$B$4*B307</f>
        <v/>
      </c>
      <c r="P307" s="12">
        <f>Calculator!$B$4*C307</f>
        <v/>
      </c>
      <c r="Q307" s="12">
        <f>Calculator!$B$4*D307</f>
        <v/>
      </c>
      <c r="R307" s="12">
        <f>Calculator!$B$4*F307</f>
        <v/>
      </c>
    </row>
    <row r="308">
      <c r="A308" s="6">
        <f>Data!A308</f>
        <v/>
      </c>
      <c r="B308" s="16">
        <f>Data!C308/Data!$C$5</f>
        <v/>
      </c>
      <c r="C308" s="16">
        <f>Data!G308/Data!$G$5</f>
        <v/>
      </c>
      <c r="D308" s="16">
        <f>D307*(1+Data!I308/100)</f>
        <v/>
      </c>
      <c r="E308" s="16" t="n">
        <v>1</v>
      </c>
      <c r="F308" s="16">
        <f>F307*(1+Data!H308/100)^(1/12)</f>
        <v/>
      </c>
      <c r="G308" s="12">
        <f>Calculator!$B$4*Calculator!$B$5/100*B308</f>
        <v/>
      </c>
      <c r="H308" s="12">
        <f>Calculator!$B$4*Calculator!$B$6/100*C308</f>
        <v/>
      </c>
      <c r="I308" s="12">
        <f>Calculator!$B$4*Calculator!$B$7/100*D308</f>
        <v/>
      </c>
      <c r="J308" s="12">
        <f>Calculator!$B$4*Calculator!$B$8/100*E308</f>
        <v/>
      </c>
      <c r="K308" s="12">
        <f>SUM(G308:J308)</f>
        <v/>
      </c>
      <c r="L308" s="12">
        <f>K308/F308</f>
        <v/>
      </c>
      <c r="M308" s="12">
        <f>MAX(M307,K308)</f>
        <v/>
      </c>
      <c r="N308" s="13">
        <f>K308/M308-1</f>
        <v/>
      </c>
      <c r="O308" s="12">
        <f>Calculator!$B$4*B308</f>
        <v/>
      </c>
      <c r="P308" s="12">
        <f>Calculator!$B$4*C308</f>
        <v/>
      </c>
      <c r="Q308" s="12">
        <f>Calculator!$B$4*D308</f>
        <v/>
      </c>
      <c r="R308" s="12">
        <f>Calculator!$B$4*F308</f>
        <v/>
      </c>
    </row>
    <row r="309">
      <c r="A309" s="6">
        <f>Data!A309</f>
        <v/>
      </c>
      <c r="B309" s="16">
        <f>Data!C309/Data!$C$5</f>
        <v/>
      </c>
      <c r="C309" s="16">
        <f>Data!G309/Data!$G$5</f>
        <v/>
      </c>
      <c r="D309" s="16">
        <f>D308*(1+Data!I309/100)</f>
        <v/>
      </c>
      <c r="E309" s="16" t="n">
        <v>1</v>
      </c>
      <c r="F309" s="16">
        <f>F308*(1+Data!H309/100)^(1/12)</f>
        <v/>
      </c>
      <c r="G309" s="12">
        <f>Calculator!$B$4*Calculator!$B$5/100*B309</f>
        <v/>
      </c>
      <c r="H309" s="12">
        <f>Calculator!$B$4*Calculator!$B$6/100*C309</f>
        <v/>
      </c>
      <c r="I309" s="12">
        <f>Calculator!$B$4*Calculator!$B$7/100*D309</f>
        <v/>
      </c>
      <c r="J309" s="12">
        <f>Calculator!$B$4*Calculator!$B$8/100*E309</f>
        <v/>
      </c>
      <c r="K309" s="12">
        <f>SUM(G309:J309)</f>
        <v/>
      </c>
      <c r="L309" s="12">
        <f>K309/F309</f>
        <v/>
      </c>
      <c r="M309" s="12">
        <f>MAX(M308,K309)</f>
        <v/>
      </c>
      <c r="N309" s="13">
        <f>K309/M309-1</f>
        <v/>
      </c>
      <c r="O309" s="12">
        <f>Calculator!$B$4*B309</f>
        <v/>
      </c>
      <c r="P309" s="12">
        <f>Calculator!$B$4*C309</f>
        <v/>
      </c>
      <c r="Q309" s="12">
        <f>Calculator!$B$4*D309</f>
        <v/>
      </c>
      <c r="R309" s="12">
        <f>Calculator!$B$4*F309</f>
        <v/>
      </c>
    </row>
    <row r="310">
      <c r="A310" s="6">
        <f>Data!A310</f>
        <v/>
      </c>
      <c r="B310" s="16">
        <f>Data!C310/Data!$C$5</f>
        <v/>
      </c>
      <c r="C310" s="16">
        <f>Data!G310/Data!$G$5</f>
        <v/>
      </c>
      <c r="D310" s="16">
        <f>D309*(1+Data!I310/100)</f>
        <v/>
      </c>
      <c r="E310" s="16" t="n">
        <v>1</v>
      </c>
      <c r="F310" s="16">
        <f>F309*(1+Data!H310/100)^(1/12)</f>
        <v/>
      </c>
      <c r="G310" s="12">
        <f>Calculator!$B$4*Calculator!$B$5/100*B310</f>
        <v/>
      </c>
      <c r="H310" s="12">
        <f>Calculator!$B$4*Calculator!$B$6/100*C310</f>
        <v/>
      </c>
      <c r="I310" s="12">
        <f>Calculator!$B$4*Calculator!$B$7/100*D310</f>
        <v/>
      </c>
      <c r="J310" s="12">
        <f>Calculator!$B$4*Calculator!$B$8/100*E310</f>
        <v/>
      </c>
      <c r="K310" s="12">
        <f>SUM(G310:J310)</f>
        <v/>
      </c>
      <c r="L310" s="12">
        <f>K310/F310</f>
        <v/>
      </c>
      <c r="M310" s="12">
        <f>MAX(M309,K310)</f>
        <v/>
      </c>
      <c r="N310" s="13">
        <f>K310/M310-1</f>
        <v/>
      </c>
      <c r="O310" s="12">
        <f>Calculator!$B$4*B310</f>
        <v/>
      </c>
      <c r="P310" s="12">
        <f>Calculator!$B$4*C310</f>
        <v/>
      </c>
      <c r="Q310" s="12">
        <f>Calculator!$B$4*D310</f>
        <v/>
      </c>
      <c r="R310" s="12">
        <f>Calculator!$B$4*F310</f>
        <v/>
      </c>
    </row>
    <row r="311">
      <c r="A311" s="6">
        <f>Data!A311</f>
        <v/>
      </c>
      <c r="B311" s="16">
        <f>Data!C311/Data!$C$5</f>
        <v/>
      </c>
      <c r="C311" s="16">
        <f>Data!G311/Data!$G$5</f>
        <v/>
      </c>
      <c r="D311" s="16">
        <f>D310*(1+Data!I311/100)</f>
        <v/>
      </c>
      <c r="E311" s="16" t="n">
        <v>1</v>
      </c>
      <c r="F311" s="16">
        <f>F310*(1+Data!H311/100)^(1/12)</f>
        <v/>
      </c>
      <c r="G311" s="12">
        <f>Calculator!$B$4*Calculator!$B$5/100*B311</f>
        <v/>
      </c>
      <c r="H311" s="12">
        <f>Calculator!$B$4*Calculator!$B$6/100*C311</f>
        <v/>
      </c>
      <c r="I311" s="12">
        <f>Calculator!$B$4*Calculator!$B$7/100*D311</f>
        <v/>
      </c>
      <c r="J311" s="12">
        <f>Calculator!$B$4*Calculator!$B$8/100*E311</f>
        <v/>
      </c>
      <c r="K311" s="12">
        <f>SUM(G311:J311)</f>
        <v/>
      </c>
      <c r="L311" s="12">
        <f>K311/F311</f>
        <v/>
      </c>
      <c r="M311" s="12">
        <f>MAX(M310,K311)</f>
        <v/>
      </c>
      <c r="N311" s="13">
        <f>K311/M311-1</f>
        <v/>
      </c>
      <c r="O311" s="12">
        <f>Calculator!$B$4*B311</f>
        <v/>
      </c>
      <c r="P311" s="12">
        <f>Calculator!$B$4*C311</f>
        <v/>
      </c>
      <c r="Q311" s="12">
        <f>Calculator!$B$4*D311</f>
        <v/>
      </c>
      <c r="R311" s="12">
        <f>Calculator!$B$4*F311</f>
        <v/>
      </c>
    </row>
    <row r="312">
      <c r="A312" s="6">
        <f>Data!A312</f>
        <v/>
      </c>
      <c r="B312" s="16">
        <f>Data!C312/Data!$C$5</f>
        <v/>
      </c>
      <c r="C312" s="16">
        <f>Data!G312/Data!$G$5</f>
        <v/>
      </c>
      <c r="D312" s="16">
        <f>D311*(1+Data!I312/100)</f>
        <v/>
      </c>
      <c r="E312" s="16" t="n">
        <v>1</v>
      </c>
      <c r="F312" s="16">
        <f>F311*(1+Data!H312/100)^(1/12)</f>
        <v/>
      </c>
      <c r="G312" s="12">
        <f>Calculator!$B$4*Calculator!$B$5/100*B312</f>
        <v/>
      </c>
      <c r="H312" s="12">
        <f>Calculator!$B$4*Calculator!$B$6/100*C312</f>
        <v/>
      </c>
      <c r="I312" s="12">
        <f>Calculator!$B$4*Calculator!$B$7/100*D312</f>
        <v/>
      </c>
      <c r="J312" s="12">
        <f>Calculator!$B$4*Calculator!$B$8/100*E312</f>
        <v/>
      </c>
      <c r="K312" s="12">
        <f>SUM(G312:J312)</f>
        <v/>
      </c>
      <c r="L312" s="12">
        <f>K312/F312</f>
        <v/>
      </c>
      <c r="M312" s="12">
        <f>MAX(M311,K312)</f>
        <v/>
      </c>
      <c r="N312" s="13">
        <f>K312/M312-1</f>
        <v/>
      </c>
      <c r="O312" s="12">
        <f>Calculator!$B$4*B312</f>
        <v/>
      </c>
      <c r="P312" s="12">
        <f>Calculator!$B$4*C312</f>
        <v/>
      </c>
      <c r="Q312" s="12">
        <f>Calculator!$B$4*D312</f>
        <v/>
      </c>
      <c r="R312" s="12">
        <f>Calculator!$B$4*F312</f>
        <v/>
      </c>
    </row>
    <row r="313">
      <c r="A313" s="6">
        <f>Data!A313</f>
        <v/>
      </c>
      <c r="B313" s="16">
        <f>Data!C313/Data!$C$5</f>
        <v/>
      </c>
      <c r="C313" s="16">
        <f>Data!G313/Data!$G$5</f>
        <v/>
      </c>
      <c r="D313" s="16">
        <f>D312*(1+Data!I313/100)</f>
        <v/>
      </c>
      <c r="E313" s="16" t="n">
        <v>1</v>
      </c>
      <c r="F313" s="16">
        <f>F312*(1+Data!H313/100)^(1/12)</f>
        <v/>
      </c>
      <c r="G313" s="12">
        <f>Calculator!$B$4*Calculator!$B$5/100*B313</f>
        <v/>
      </c>
      <c r="H313" s="12">
        <f>Calculator!$B$4*Calculator!$B$6/100*C313</f>
        <v/>
      </c>
      <c r="I313" s="12">
        <f>Calculator!$B$4*Calculator!$B$7/100*D313</f>
        <v/>
      </c>
      <c r="J313" s="12">
        <f>Calculator!$B$4*Calculator!$B$8/100*E313</f>
        <v/>
      </c>
      <c r="K313" s="12">
        <f>SUM(G313:J313)</f>
        <v/>
      </c>
      <c r="L313" s="12">
        <f>K313/F313</f>
        <v/>
      </c>
      <c r="M313" s="12">
        <f>MAX(M312,K313)</f>
        <v/>
      </c>
      <c r="N313" s="13">
        <f>K313/M313-1</f>
        <v/>
      </c>
      <c r="O313" s="12">
        <f>Calculator!$B$4*B313</f>
        <v/>
      </c>
      <c r="P313" s="12">
        <f>Calculator!$B$4*C313</f>
        <v/>
      </c>
      <c r="Q313" s="12">
        <f>Calculator!$B$4*D313</f>
        <v/>
      </c>
      <c r="R313" s="12">
        <f>Calculator!$B$4*F313</f>
        <v/>
      </c>
    </row>
    <row r="314">
      <c r="A314" s="6">
        <f>Data!A314</f>
        <v/>
      </c>
      <c r="B314" s="16">
        <f>Data!C314/Data!$C$5</f>
        <v/>
      </c>
      <c r="C314" s="16">
        <f>Data!G314/Data!$G$5</f>
        <v/>
      </c>
      <c r="D314" s="16">
        <f>D313*(1+Data!I314/100)</f>
        <v/>
      </c>
      <c r="E314" s="16" t="n">
        <v>1</v>
      </c>
      <c r="F314" s="16">
        <f>F313*(1+Data!H314/100)^(1/12)</f>
        <v/>
      </c>
      <c r="G314" s="12">
        <f>Calculator!$B$4*Calculator!$B$5/100*B314</f>
        <v/>
      </c>
      <c r="H314" s="12">
        <f>Calculator!$B$4*Calculator!$B$6/100*C314</f>
        <v/>
      </c>
      <c r="I314" s="12">
        <f>Calculator!$B$4*Calculator!$B$7/100*D314</f>
        <v/>
      </c>
      <c r="J314" s="12">
        <f>Calculator!$B$4*Calculator!$B$8/100*E314</f>
        <v/>
      </c>
      <c r="K314" s="12">
        <f>SUM(G314:J314)</f>
        <v/>
      </c>
      <c r="L314" s="12">
        <f>K314/F314</f>
        <v/>
      </c>
      <c r="M314" s="12">
        <f>MAX(M313,K314)</f>
        <v/>
      </c>
      <c r="N314" s="13">
        <f>K314/M314-1</f>
        <v/>
      </c>
      <c r="O314" s="12">
        <f>Calculator!$B$4*B314</f>
        <v/>
      </c>
      <c r="P314" s="12">
        <f>Calculator!$B$4*C314</f>
        <v/>
      </c>
      <c r="Q314" s="12">
        <f>Calculator!$B$4*D314</f>
        <v/>
      </c>
      <c r="R314" s="12">
        <f>Calculator!$B$4*F314</f>
        <v/>
      </c>
    </row>
    <row r="315">
      <c r="A315" s="6">
        <f>Data!A315</f>
        <v/>
      </c>
      <c r="B315" s="16">
        <f>Data!C315/Data!$C$5</f>
        <v/>
      </c>
      <c r="C315" s="16">
        <f>Data!G315/Data!$G$5</f>
        <v/>
      </c>
      <c r="D315" s="16">
        <f>D314*(1+Data!I315/100)</f>
        <v/>
      </c>
      <c r="E315" s="16" t="n">
        <v>1</v>
      </c>
      <c r="F315" s="16">
        <f>F314*(1+Data!H315/100)^(1/12)</f>
        <v/>
      </c>
      <c r="G315" s="12">
        <f>Calculator!$B$4*Calculator!$B$5/100*B315</f>
        <v/>
      </c>
      <c r="H315" s="12">
        <f>Calculator!$B$4*Calculator!$B$6/100*C315</f>
        <v/>
      </c>
      <c r="I315" s="12">
        <f>Calculator!$B$4*Calculator!$B$7/100*D315</f>
        <v/>
      </c>
      <c r="J315" s="12">
        <f>Calculator!$B$4*Calculator!$B$8/100*E315</f>
        <v/>
      </c>
      <c r="K315" s="12">
        <f>SUM(G315:J315)</f>
        <v/>
      </c>
      <c r="L315" s="12">
        <f>K315/F315</f>
        <v/>
      </c>
      <c r="M315" s="12">
        <f>MAX(M314,K315)</f>
        <v/>
      </c>
      <c r="N315" s="13">
        <f>K315/M315-1</f>
        <v/>
      </c>
      <c r="O315" s="12">
        <f>Calculator!$B$4*B315</f>
        <v/>
      </c>
      <c r="P315" s="12">
        <f>Calculator!$B$4*C315</f>
        <v/>
      </c>
      <c r="Q315" s="12">
        <f>Calculator!$B$4*D315</f>
        <v/>
      </c>
      <c r="R315" s="12">
        <f>Calculator!$B$4*F315</f>
        <v/>
      </c>
    </row>
    <row r="316">
      <c r="A316" s="6">
        <f>Data!A316</f>
        <v/>
      </c>
      <c r="B316" s="16">
        <f>Data!C316/Data!$C$5</f>
        <v/>
      </c>
      <c r="C316" s="16">
        <f>Data!G316/Data!$G$5</f>
        <v/>
      </c>
      <c r="D316" s="16">
        <f>D315*(1+Data!I316/100)</f>
        <v/>
      </c>
      <c r="E316" s="16" t="n">
        <v>1</v>
      </c>
      <c r="F316" s="16">
        <f>F315*(1+Data!H316/100)^(1/12)</f>
        <v/>
      </c>
      <c r="G316" s="12">
        <f>Calculator!$B$4*Calculator!$B$5/100*B316</f>
        <v/>
      </c>
      <c r="H316" s="12">
        <f>Calculator!$B$4*Calculator!$B$6/100*C316</f>
        <v/>
      </c>
      <c r="I316" s="12">
        <f>Calculator!$B$4*Calculator!$B$7/100*D316</f>
        <v/>
      </c>
      <c r="J316" s="12">
        <f>Calculator!$B$4*Calculator!$B$8/100*E316</f>
        <v/>
      </c>
      <c r="K316" s="12">
        <f>SUM(G316:J316)</f>
        <v/>
      </c>
      <c r="L316" s="12">
        <f>K316/F316</f>
        <v/>
      </c>
      <c r="M316" s="12">
        <f>MAX(M315,K316)</f>
        <v/>
      </c>
      <c r="N316" s="13">
        <f>K316/M316-1</f>
        <v/>
      </c>
      <c r="O316" s="12">
        <f>Calculator!$B$4*B316</f>
        <v/>
      </c>
      <c r="P316" s="12">
        <f>Calculator!$B$4*C316</f>
        <v/>
      </c>
      <c r="Q316" s="12">
        <f>Calculator!$B$4*D316</f>
        <v/>
      </c>
      <c r="R316" s="12">
        <f>Calculator!$B$4*F316</f>
        <v/>
      </c>
    </row>
    <row r="317">
      <c r="A317" s="6">
        <f>Data!A317</f>
        <v/>
      </c>
      <c r="B317" s="16">
        <f>Data!C317/Data!$C$5</f>
        <v/>
      </c>
      <c r="C317" s="16">
        <f>Data!G317/Data!$G$5</f>
        <v/>
      </c>
      <c r="D317" s="16">
        <f>D316*(1+Data!I317/100)</f>
        <v/>
      </c>
      <c r="E317" s="16" t="n">
        <v>1</v>
      </c>
      <c r="F317" s="16">
        <f>F316*(1+Data!H317/100)^(1/12)</f>
        <v/>
      </c>
      <c r="G317" s="12">
        <f>Calculator!$B$4*Calculator!$B$5/100*B317</f>
        <v/>
      </c>
      <c r="H317" s="12">
        <f>Calculator!$B$4*Calculator!$B$6/100*C317</f>
        <v/>
      </c>
      <c r="I317" s="12">
        <f>Calculator!$B$4*Calculator!$B$7/100*D317</f>
        <v/>
      </c>
      <c r="J317" s="12">
        <f>Calculator!$B$4*Calculator!$B$8/100*E317</f>
        <v/>
      </c>
      <c r="K317" s="12">
        <f>SUM(G317:J317)</f>
        <v/>
      </c>
      <c r="L317" s="12">
        <f>K317/F317</f>
        <v/>
      </c>
      <c r="M317" s="12">
        <f>MAX(M316,K317)</f>
        <v/>
      </c>
      <c r="N317" s="13">
        <f>K317/M317-1</f>
        <v/>
      </c>
      <c r="O317" s="12">
        <f>Calculator!$B$4*B317</f>
        <v/>
      </c>
      <c r="P317" s="12">
        <f>Calculator!$B$4*C317</f>
        <v/>
      </c>
      <c r="Q317" s="12">
        <f>Calculator!$B$4*D317</f>
        <v/>
      </c>
      <c r="R317" s="12">
        <f>Calculator!$B$4*F317</f>
        <v/>
      </c>
    </row>
    <row r="318">
      <c r="A318" s="6">
        <f>Data!A318</f>
        <v/>
      </c>
      <c r="B318" s="16">
        <f>Data!C318/Data!$C$5</f>
        <v/>
      </c>
      <c r="C318" s="16">
        <f>Data!G318/Data!$G$5</f>
        <v/>
      </c>
      <c r="D318" s="16">
        <f>D317*(1+Data!I318/100)</f>
        <v/>
      </c>
      <c r="E318" s="16" t="n">
        <v>1</v>
      </c>
      <c r="F318" s="16">
        <f>F317*(1+Data!H318/100)^(1/12)</f>
        <v/>
      </c>
      <c r="G318" s="12">
        <f>Calculator!$B$4*Calculator!$B$5/100*B318</f>
        <v/>
      </c>
      <c r="H318" s="12">
        <f>Calculator!$B$4*Calculator!$B$6/100*C318</f>
        <v/>
      </c>
      <c r="I318" s="12">
        <f>Calculator!$B$4*Calculator!$B$7/100*D318</f>
        <v/>
      </c>
      <c r="J318" s="12">
        <f>Calculator!$B$4*Calculator!$B$8/100*E318</f>
        <v/>
      </c>
      <c r="K318" s="12">
        <f>SUM(G318:J318)</f>
        <v/>
      </c>
      <c r="L318" s="12">
        <f>K318/F318</f>
        <v/>
      </c>
      <c r="M318" s="12">
        <f>MAX(M317,K318)</f>
        <v/>
      </c>
      <c r="N318" s="13">
        <f>K318/M318-1</f>
        <v/>
      </c>
      <c r="O318" s="12">
        <f>Calculator!$B$4*B318</f>
        <v/>
      </c>
      <c r="P318" s="12">
        <f>Calculator!$B$4*C318</f>
        <v/>
      </c>
      <c r="Q318" s="12">
        <f>Calculator!$B$4*D318</f>
        <v/>
      </c>
      <c r="R318" s="12">
        <f>Calculator!$B$4*F318</f>
        <v/>
      </c>
    </row>
    <row r="319">
      <c r="A319" s="6">
        <f>Data!A319</f>
        <v/>
      </c>
      <c r="B319" s="16">
        <f>Data!C319/Data!$C$5</f>
        <v/>
      </c>
      <c r="C319" s="16">
        <f>Data!G319/Data!$G$5</f>
        <v/>
      </c>
      <c r="D319" s="16">
        <f>D318*(1+Data!I319/100)</f>
        <v/>
      </c>
      <c r="E319" s="16" t="n">
        <v>1</v>
      </c>
      <c r="F319" s="16">
        <f>F318*(1+Data!H319/100)^(1/12)</f>
        <v/>
      </c>
      <c r="G319" s="12">
        <f>Calculator!$B$4*Calculator!$B$5/100*B319</f>
        <v/>
      </c>
      <c r="H319" s="12">
        <f>Calculator!$B$4*Calculator!$B$6/100*C319</f>
        <v/>
      </c>
      <c r="I319" s="12">
        <f>Calculator!$B$4*Calculator!$B$7/100*D319</f>
        <v/>
      </c>
      <c r="J319" s="12">
        <f>Calculator!$B$4*Calculator!$B$8/100*E319</f>
        <v/>
      </c>
      <c r="K319" s="12">
        <f>SUM(G319:J319)</f>
        <v/>
      </c>
      <c r="L319" s="12">
        <f>K319/F319</f>
        <v/>
      </c>
      <c r="M319" s="12">
        <f>MAX(M318,K319)</f>
        <v/>
      </c>
      <c r="N319" s="13">
        <f>K319/M319-1</f>
        <v/>
      </c>
      <c r="O319" s="12">
        <f>Calculator!$B$4*B319</f>
        <v/>
      </c>
      <c r="P319" s="12">
        <f>Calculator!$B$4*C319</f>
        <v/>
      </c>
      <c r="Q319" s="12">
        <f>Calculator!$B$4*D319</f>
        <v/>
      </c>
      <c r="R319" s="12">
        <f>Calculator!$B$4*F319</f>
        <v/>
      </c>
    </row>
    <row r="320">
      <c r="A320" s="6">
        <f>Data!A320</f>
        <v/>
      </c>
      <c r="B320" s="16">
        <f>Data!C320/Data!$C$5</f>
        <v/>
      </c>
      <c r="C320" s="16">
        <f>Data!G320/Data!$G$5</f>
        <v/>
      </c>
      <c r="D320" s="16">
        <f>D319*(1+Data!I320/100)</f>
        <v/>
      </c>
      <c r="E320" s="16" t="n">
        <v>1</v>
      </c>
      <c r="F320" s="16">
        <f>F319*(1+Data!H320/100)^(1/12)</f>
        <v/>
      </c>
      <c r="G320" s="12">
        <f>Calculator!$B$4*Calculator!$B$5/100*B320</f>
        <v/>
      </c>
      <c r="H320" s="12">
        <f>Calculator!$B$4*Calculator!$B$6/100*C320</f>
        <v/>
      </c>
      <c r="I320" s="12">
        <f>Calculator!$B$4*Calculator!$B$7/100*D320</f>
        <v/>
      </c>
      <c r="J320" s="12">
        <f>Calculator!$B$4*Calculator!$B$8/100*E320</f>
        <v/>
      </c>
      <c r="K320" s="12">
        <f>SUM(G320:J320)</f>
        <v/>
      </c>
      <c r="L320" s="12">
        <f>K320/F320</f>
        <v/>
      </c>
      <c r="M320" s="12">
        <f>MAX(M319,K320)</f>
        <v/>
      </c>
      <c r="N320" s="13">
        <f>K320/M320-1</f>
        <v/>
      </c>
      <c r="O320" s="12">
        <f>Calculator!$B$4*B320</f>
        <v/>
      </c>
      <c r="P320" s="12">
        <f>Calculator!$B$4*C320</f>
        <v/>
      </c>
      <c r="Q320" s="12">
        <f>Calculator!$B$4*D320</f>
        <v/>
      </c>
      <c r="R320" s="12">
        <f>Calculator!$B$4*F320</f>
        <v/>
      </c>
    </row>
    <row r="321">
      <c r="A321" s="6">
        <f>Data!A321</f>
        <v/>
      </c>
      <c r="B321" s="16">
        <f>Data!C321/Data!$C$5</f>
        <v/>
      </c>
      <c r="C321" s="16">
        <f>Data!G321/Data!$G$5</f>
        <v/>
      </c>
      <c r="D321" s="16">
        <f>D320*(1+Data!I321/100)</f>
        <v/>
      </c>
      <c r="E321" s="16" t="n">
        <v>1</v>
      </c>
      <c r="F321" s="16">
        <f>F320*(1+Data!H321/100)^(1/12)</f>
        <v/>
      </c>
      <c r="G321" s="12">
        <f>Calculator!$B$4*Calculator!$B$5/100*B321</f>
        <v/>
      </c>
      <c r="H321" s="12">
        <f>Calculator!$B$4*Calculator!$B$6/100*C321</f>
        <v/>
      </c>
      <c r="I321" s="12">
        <f>Calculator!$B$4*Calculator!$B$7/100*D321</f>
        <v/>
      </c>
      <c r="J321" s="12">
        <f>Calculator!$B$4*Calculator!$B$8/100*E321</f>
        <v/>
      </c>
      <c r="K321" s="12">
        <f>SUM(G321:J321)</f>
        <v/>
      </c>
      <c r="L321" s="12">
        <f>K321/F321</f>
        <v/>
      </c>
      <c r="M321" s="12">
        <f>MAX(M320,K321)</f>
        <v/>
      </c>
      <c r="N321" s="13">
        <f>K321/M321-1</f>
        <v/>
      </c>
      <c r="O321" s="12">
        <f>Calculator!$B$4*B321</f>
        <v/>
      </c>
      <c r="P321" s="12">
        <f>Calculator!$B$4*C321</f>
        <v/>
      </c>
      <c r="Q321" s="12">
        <f>Calculator!$B$4*D321</f>
        <v/>
      </c>
      <c r="R321" s="12">
        <f>Calculator!$B$4*F321</f>
        <v/>
      </c>
    </row>
    <row r="322">
      <c r="A322" s="6">
        <f>Data!A322</f>
        <v/>
      </c>
      <c r="B322" s="16">
        <f>Data!C322/Data!$C$5</f>
        <v/>
      </c>
      <c r="C322" s="16">
        <f>Data!G322/Data!$G$5</f>
        <v/>
      </c>
      <c r="D322" s="16">
        <f>D321*(1+Data!I322/100)</f>
        <v/>
      </c>
      <c r="E322" s="16" t="n">
        <v>1</v>
      </c>
      <c r="F322" s="16">
        <f>F321*(1+Data!H322/100)^(1/12)</f>
        <v/>
      </c>
      <c r="G322" s="12">
        <f>Calculator!$B$4*Calculator!$B$5/100*B322</f>
        <v/>
      </c>
      <c r="H322" s="12">
        <f>Calculator!$B$4*Calculator!$B$6/100*C322</f>
        <v/>
      </c>
      <c r="I322" s="12">
        <f>Calculator!$B$4*Calculator!$B$7/100*D322</f>
        <v/>
      </c>
      <c r="J322" s="12">
        <f>Calculator!$B$4*Calculator!$B$8/100*E322</f>
        <v/>
      </c>
      <c r="K322" s="12">
        <f>SUM(G322:J322)</f>
        <v/>
      </c>
      <c r="L322" s="12">
        <f>K322/F322</f>
        <v/>
      </c>
      <c r="M322" s="12">
        <f>MAX(M321,K322)</f>
        <v/>
      </c>
      <c r="N322" s="13">
        <f>K322/M322-1</f>
        <v/>
      </c>
      <c r="O322" s="12">
        <f>Calculator!$B$4*B322</f>
        <v/>
      </c>
      <c r="P322" s="12">
        <f>Calculator!$B$4*C322</f>
        <v/>
      </c>
      <c r="Q322" s="12">
        <f>Calculator!$B$4*D322</f>
        <v/>
      </c>
      <c r="R322" s="12">
        <f>Calculator!$B$4*F322</f>
        <v/>
      </c>
    </row>
    <row r="323">
      <c r="A323" s="6">
        <f>Data!A323</f>
        <v/>
      </c>
      <c r="B323" s="16">
        <f>Data!C323/Data!$C$5</f>
        <v/>
      </c>
      <c r="C323" s="16">
        <f>Data!G323/Data!$G$5</f>
        <v/>
      </c>
      <c r="D323" s="16">
        <f>D322*(1+Data!I323/100)</f>
        <v/>
      </c>
      <c r="E323" s="16" t="n">
        <v>1</v>
      </c>
      <c r="F323" s="16">
        <f>F322*(1+Data!H323/100)^(1/12)</f>
        <v/>
      </c>
      <c r="G323" s="12">
        <f>Calculator!$B$4*Calculator!$B$5/100*B323</f>
        <v/>
      </c>
      <c r="H323" s="12">
        <f>Calculator!$B$4*Calculator!$B$6/100*C323</f>
        <v/>
      </c>
      <c r="I323" s="12">
        <f>Calculator!$B$4*Calculator!$B$7/100*D323</f>
        <v/>
      </c>
      <c r="J323" s="12">
        <f>Calculator!$B$4*Calculator!$B$8/100*E323</f>
        <v/>
      </c>
      <c r="K323" s="12">
        <f>SUM(G323:J323)</f>
        <v/>
      </c>
      <c r="L323" s="12">
        <f>K323/F323</f>
        <v/>
      </c>
      <c r="M323" s="12">
        <f>MAX(M322,K323)</f>
        <v/>
      </c>
      <c r="N323" s="13">
        <f>K323/M323-1</f>
        <v/>
      </c>
      <c r="O323" s="12">
        <f>Calculator!$B$4*B323</f>
        <v/>
      </c>
      <c r="P323" s="12">
        <f>Calculator!$B$4*C323</f>
        <v/>
      </c>
      <c r="Q323" s="12">
        <f>Calculator!$B$4*D323</f>
        <v/>
      </c>
      <c r="R323" s="12">
        <f>Calculator!$B$4*F323</f>
        <v/>
      </c>
    </row>
    <row r="324">
      <c r="A324" s="6">
        <f>Data!A324</f>
        <v/>
      </c>
      <c r="B324" s="16">
        <f>Data!C324/Data!$C$5</f>
        <v/>
      </c>
      <c r="C324" s="16">
        <f>Data!G324/Data!$G$5</f>
        <v/>
      </c>
      <c r="D324" s="16">
        <f>D323*(1+Data!I324/100)</f>
        <v/>
      </c>
      <c r="E324" s="16" t="n">
        <v>1</v>
      </c>
      <c r="F324" s="16">
        <f>F323*(1+Data!H324/100)^(1/12)</f>
        <v/>
      </c>
      <c r="G324" s="12">
        <f>Calculator!$B$4*Calculator!$B$5/100*B324</f>
        <v/>
      </c>
      <c r="H324" s="12">
        <f>Calculator!$B$4*Calculator!$B$6/100*C324</f>
        <v/>
      </c>
      <c r="I324" s="12">
        <f>Calculator!$B$4*Calculator!$B$7/100*D324</f>
        <v/>
      </c>
      <c r="J324" s="12">
        <f>Calculator!$B$4*Calculator!$B$8/100*E324</f>
        <v/>
      </c>
      <c r="K324" s="12">
        <f>SUM(G324:J324)</f>
        <v/>
      </c>
      <c r="L324" s="12">
        <f>K324/F324</f>
        <v/>
      </c>
      <c r="M324" s="12">
        <f>MAX(M323,K324)</f>
        <v/>
      </c>
      <c r="N324" s="13">
        <f>K324/M324-1</f>
        <v/>
      </c>
      <c r="O324" s="12">
        <f>Calculator!$B$4*B324</f>
        <v/>
      </c>
      <c r="P324" s="12">
        <f>Calculator!$B$4*C324</f>
        <v/>
      </c>
      <c r="Q324" s="12">
        <f>Calculator!$B$4*D324</f>
        <v/>
      </c>
      <c r="R324" s="12">
        <f>Calculator!$B$4*F324</f>
        <v/>
      </c>
    </row>
    <row r="325">
      <c r="A325" s="6">
        <f>Data!A325</f>
        <v/>
      </c>
      <c r="B325" s="16">
        <f>Data!C325/Data!$C$5</f>
        <v/>
      </c>
      <c r="C325" s="16">
        <f>Data!G325/Data!$G$5</f>
        <v/>
      </c>
      <c r="D325" s="16">
        <f>D324*(1+Data!I325/100)</f>
        <v/>
      </c>
      <c r="E325" s="16" t="n">
        <v>1</v>
      </c>
      <c r="F325" s="16">
        <f>F324*(1+Data!H325/100)^(1/12)</f>
        <v/>
      </c>
      <c r="G325" s="12">
        <f>Calculator!$B$4*Calculator!$B$5/100*B325</f>
        <v/>
      </c>
      <c r="H325" s="12">
        <f>Calculator!$B$4*Calculator!$B$6/100*C325</f>
        <v/>
      </c>
      <c r="I325" s="12">
        <f>Calculator!$B$4*Calculator!$B$7/100*D325</f>
        <v/>
      </c>
      <c r="J325" s="12">
        <f>Calculator!$B$4*Calculator!$B$8/100*E325</f>
        <v/>
      </c>
      <c r="K325" s="12">
        <f>SUM(G325:J325)</f>
        <v/>
      </c>
      <c r="L325" s="12">
        <f>K325/F325</f>
        <v/>
      </c>
      <c r="M325" s="12">
        <f>MAX(M324,K325)</f>
        <v/>
      </c>
      <c r="N325" s="13">
        <f>K325/M325-1</f>
        <v/>
      </c>
      <c r="O325" s="12">
        <f>Calculator!$B$4*B325</f>
        <v/>
      </c>
      <c r="P325" s="12">
        <f>Calculator!$B$4*C325</f>
        <v/>
      </c>
      <c r="Q325" s="12">
        <f>Calculator!$B$4*D325</f>
        <v/>
      </c>
      <c r="R325" s="12">
        <f>Calculator!$B$4*F325</f>
        <v/>
      </c>
    </row>
    <row r="326">
      <c r="A326" s="6">
        <f>Data!A326</f>
        <v/>
      </c>
      <c r="B326" s="16">
        <f>Data!C326/Data!$C$5</f>
        <v/>
      </c>
      <c r="C326" s="16">
        <f>Data!G326/Data!$G$5</f>
        <v/>
      </c>
      <c r="D326" s="16">
        <f>D325*(1+Data!I326/100)</f>
        <v/>
      </c>
      <c r="E326" s="16" t="n">
        <v>1</v>
      </c>
      <c r="F326" s="16">
        <f>F325*(1+Data!H326/100)^(1/12)</f>
        <v/>
      </c>
      <c r="G326" s="12">
        <f>Calculator!$B$4*Calculator!$B$5/100*B326</f>
        <v/>
      </c>
      <c r="H326" s="12">
        <f>Calculator!$B$4*Calculator!$B$6/100*C326</f>
        <v/>
      </c>
      <c r="I326" s="12">
        <f>Calculator!$B$4*Calculator!$B$7/100*D326</f>
        <v/>
      </c>
      <c r="J326" s="12">
        <f>Calculator!$B$4*Calculator!$B$8/100*E326</f>
        <v/>
      </c>
      <c r="K326" s="12">
        <f>SUM(G326:J326)</f>
        <v/>
      </c>
      <c r="L326" s="12">
        <f>K326/F326</f>
        <v/>
      </c>
      <c r="M326" s="12">
        <f>MAX(M325,K326)</f>
        <v/>
      </c>
      <c r="N326" s="13">
        <f>K326/M326-1</f>
        <v/>
      </c>
      <c r="O326" s="12">
        <f>Calculator!$B$4*B326</f>
        <v/>
      </c>
      <c r="P326" s="12">
        <f>Calculator!$B$4*C326</f>
        <v/>
      </c>
      <c r="Q326" s="12">
        <f>Calculator!$B$4*D326</f>
        <v/>
      </c>
      <c r="R326" s="12">
        <f>Calculator!$B$4*F326</f>
        <v/>
      </c>
    </row>
    <row r="327">
      <c r="A327" s="6">
        <f>Data!A327</f>
        <v/>
      </c>
      <c r="B327" s="16">
        <f>Data!C327/Data!$C$5</f>
        <v/>
      </c>
      <c r="C327" s="16">
        <f>Data!G327/Data!$G$5</f>
        <v/>
      </c>
      <c r="D327" s="16">
        <f>D326*(1+Data!I327/100)</f>
        <v/>
      </c>
      <c r="E327" s="16" t="n">
        <v>1</v>
      </c>
      <c r="F327" s="16">
        <f>F326*(1+Data!H327/100)^(1/12)</f>
        <v/>
      </c>
      <c r="G327" s="12">
        <f>Calculator!$B$4*Calculator!$B$5/100*B327</f>
        <v/>
      </c>
      <c r="H327" s="12">
        <f>Calculator!$B$4*Calculator!$B$6/100*C327</f>
        <v/>
      </c>
      <c r="I327" s="12">
        <f>Calculator!$B$4*Calculator!$B$7/100*D327</f>
        <v/>
      </c>
      <c r="J327" s="12">
        <f>Calculator!$B$4*Calculator!$B$8/100*E327</f>
        <v/>
      </c>
      <c r="K327" s="12">
        <f>SUM(G327:J327)</f>
        <v/>
      </c>
      <c r="L327" s="12">
        <f>K327/F327</f>
        <v/>
      </c>
      <c r="M327" s="12">
        <f>MAX(M326,K327)</f>
        <v/>
      </c>
      <c r="N327" s="13">
        <f>K327/M327-1</f>
        <v/>
      </c>
      <c r="O327" s="12">
        <f>Calculator!$B$4*B327</f>
        <v/>
      </c>
      <c r="P327" s="12">
        <f>Calculator!$B$4*C327</f>
        <v/>
      </c>
      <c r="Q327" s="12">
        <f>Calculator!$B$4*D327</f>
        <v/>
      </c>
      <c r="R327" s="12">
        <f>Calculator!$B$4*F327</f>
        <v/>
      </c>
    </row>
    <row r="328">
      <c r="A328" s="6">
        <f>Data!A328</f>
        <v/>
      </c>
      <c r="B328" s="16">
        <f>Data!C328/Data!$C$5</f>
        <v/>
      </c>
      <c r="C328" s="16">
        <f>Data!G328/Data!$G$5</f>
        <v/>
      </c>
      <c r="D328" s="16">
        <f>D327*(1+Data!I328/100)</f>
        <v/>
      </c>
      <c r="E328" s="16" t="n">
        <v>1</v>
      </c>
      <c r="F328" s="16">
        <f>F327*(1+Data!H328/100)^(1/12)</f>
        <v/>
      </c>
      <c r="G328" s="12">
        <f>Calculator!$B$4*Calculator!$B$5/100*B328</f>
        <v/>
      </c>
      <c r="H328" s="12">
        <f>Calculator!$B$4*Calculator!$B$6/100*C328</f>
        <v/>
      </c>
      <c r="I328" s="12">
        <f>Calculator!$B$4*Calculator!$B$7/100*D328</f>
        <v/>
      </c>
      <c r="J328" s="12">
        <f>Calculator!$B$4*Calculator!$B$8/100*E328</f>
        <v/>
      </c>
      <c r="K328" s="12">
        <f>SUM(G328:J328)</f>
        <v/>
      </c>
      <c r="L328" s="12">
        <f>K328/F328</f>
        <v/>
      </c>
      <c r="M328" s="12">
        <f>MAX(M327,K328)</f>
        <v/>
      </c>
      <c r="N328" s="13">
        <f>K328/M328-1</f>
        <v/>
      </c>
      <c r="O328" s="12">
        <f>Calculator!$B$4*B328</f>
        <v/>
      </c>
      <c r="P328" s="12">
        <f>Calculator!$B$4*C328</f>
        <v/>
      </c>
      <c r="Q328" s="12">
        <f>Calculator!$B$4*D328</f>
        <v/>
      </c>
      <c r="R328" s="12">
        <f>Calculator!$B$4*F328</f>
        <v/>
      </c>
    </row>
    <row r="329">
      <c r="A329" s="6">
        <f>Data!A329</f>
        <v/>
      </c>
      <c r="B329" s="16">
        <f>Data!C329/Data!$C$5</f>
        <v/>
      </c>
      <c r="C329" s="16">
        <f>Data!G329/Data!$G$5</f>
        <v/>
      </c>
      <c r="D329" s="16">
        <f>D328*(1+Data!I329/100)</f>
        <v/>
      </c>
      <c r="E329" s="16" t="n">
        <v>1</v>
      </c>
      <c r="F329" s="16">
        <f>F328*(1+Data!H329/100)^(1/12)</f>
        <v/>
      </c>
      <c r="G329" s="12">
        <f>Calculator!$B$4*Calculator!$B$5/100*B329</f>
        <v/>
      </c>
      <c r="H329" s="12">
        <f>Calculator!$B$4*Calculator!$B$6/100*C329</f>
        <v/>
      </c>
      <c r="I329" s="12">
        <f>Calculator!$B$4*Calculator!$B$7/100*D329</f>
        <v/>
      </c>
      <c r="J329" s="12">
        <f>Calculator!$B$4*Calculator!$B$8/100*E329</f>
        <v/>
      </c>
      <c r="K329" s="12">
        <f>SUM(G329:J329)</f>
        <v/>
      </c>
      <c r="L329" s="12">
        <f>K329/F329</f>
        <v/>
      </c>
      <c r="M329" s="12">
        <f>MAX(M328,K329)</f>
        <v/>
      </c>
      <c r="N329" s="13">
        <f>K329/M329-1</f>
        <v/>
      </c>
      <c r="O329" s="12">
        <f>Calculator!$B$4*B329</f>
        <v/>
      </c>
      <c r="P329" s="12">
        <f>Calculator!$B$4*C329</f>
        <v/>
      </c>
      <c r="Q329" s="12">
        <f>Calculator!$B$4*D329</f>
        <v/>
      </c>
      <c r="R329" s="12">
        <f>Calculator!$B$4*F329</f>
        <v/>
      </c>
    </row>
    <row r="330">
      <c r="A330" s="6">
        <f>Data!A330</f>
        <v/>
      </c>
      <c r="B330" s="16">
        <f>Data!C330/Data!$C$5</f>
        <v/>
      </c>
      <c r="C330" s="16">
        <f>Data!G330/Data!$G$5</f>
        <v/>
      </c>
      <c r="D330" s="16">
        <f>D329*(1+Data!I330/100)</f>
        <v/>
      </c>
      <c r="E330" s="16" t="n">
        <v>1</v>
      </c>
      <c r="F330" s="16">
        <f>F329*(1+Data!H330/100)^(1/12)</f>
        <v/>
      </c>
      <c r="G330" s="12">
        <f>Calculator!$B$4*Calculator!$B$5/100*B330</f>
        <v/>
      </c>
      <c r="H330" s="12">
        <f>Calculator!$B$4*Calculator!$B$6/100*C330</f>
        <v/>
      </c>
      <c r="I330" s="12">
        <f>Calculator!$B$4*Calculator!$B$7/100*D330</f>
        <v/>
      </c>
      <c r="J330" s="12">
        <f>Calculator!$B$4*Calculator!$B$8/100*E330</f>
        <v/>
      </c>
      <c r="K330" s="12">
        <f>SUM(G330:J330)</f>
        <v/>
      </c>
      <c r="L330" s="12">
        <f>K330/F330</f>
        <v/>
      </c>
      <c r="M330" s="12">
        <f>MAX(M329,K330)</f>
        <v/>
      </c>
      <c r="N330" s="13">
        <f>K330/M330-1</f>
        <v/>
      </c>
      <c r="O330" s="12">
        <f>Calculator!$B$4*B330</f>
        <v/>
      </c>
      <c r="P330" s="12">
        <f>Calculator!$B$4*C330</f>
        <v/>
      </c>
      <c r="Q330" s="12">
        <f>Calculator!$B$4*D330</f>
        <v/>
      </c>
      <c r="R330" s="12">
        <f>Calculator!$B$4*F330</f>
        <v/>
      </c>
    </row>
    <row r="331">
      <c r="A331" s="6">
        <f>Data!A331</f>
        <v/>
      </c>
      <c r="B331" s="16">
        <f>Data!C331/Data!$C$5</f>
        <v/>
      </c>
      <c r="C331" s="16">
        <f>Data!G331/Data!$G$5</f>
        <v/>
      </c>
      <c r="D331" s="16">
        <f>D330*(1+Data!I331/100)</f>
        <v/>
      </c>
      <c r="E331" s="16" t="n">
        <v>1</v>
      </c>
      <c r="F331" s="16">
        <f>F330*(1+Data!H331/100)^(1/12)</f>
        <v/>
      </c>
      <c r="G331" s="12">
        <f>Calculator!$B$4*Calculator!$B$5/100*B331</f>
        <v/>
      </c>
      <c r="H331" s="12">
        <f>Calculator!$B$4*Calculator!$B$6/100*C331</f>
        <v/>
      </c>
      <c r="I331" s="12">
        <f>Calculator!$B$4*Calculator!$B$7/100*D331</f>
        <v/>
      </c>
      <c r="J331" s="12">
        <f>Calculator!$B$4*Calculator!$B$8/100*E331</f>
        <v/>
      </c>
      <c r="K331" s="12">
        <f>SUM(G331:J331)</f>
        <v/>
      </c>
      <c r="L331" s="12">
        <f>K331/F331</f>
        <v/>
      </c>
      <c r="M331" s="12">
        <f>MAX(M330,K331)</f>
        <v/>
      </c>
      <c r="N331" s="13">
        <f>K331/M331-1</f>
        <v/>
      </c>
      <c r="O331" s="12">
        <f>Calculator!$B$4*B331</f>
        <v/>
      </c>
      <c r="P331" s="12">
        <f>Calculator!$B$4*C331</f>
        <v/>
      </c>
      <c r="Q331" s="12">
        <f>Calculator!$B$4*D331</f>
        <v/>
      </c>
      <c r="R331" s="12">
        <f>Calculator!$B$4*F331</f>
        <v/>
      </c>
    </row>
    <row r="332">
      <c r="A332" s="6">
        <f>Data!A332</f>
        <v/>
      </c>
      <c r="B332" s="16">
        <f>Data!C332/Data!$C$5</f>
        <v/>
      </c>
      <c r="C332" s="16">
        <f>Data!G332/Data!$G$5</f>
        <v/>
      </c>
      <c r="D332" s="16">
        <f>D331*(1+Data!I332/100)</f>
        <v/>
      </c>
      <c r="E332" s="16" t="n">
        <v>1</v>
      </c>
      <c r="F332" s="16">
        <f>F331*(1+Data!H332/100)^(1/12)</f>
        <v/>
      </c>
      <c r="G332" s="12">
        <f>Calculator!$B$4*Calculator!$B$5/100*B332</f>
        <v/>
      </c>
      <c r="H332" s="12">
        <f>Calculator!$B$4*Calculator!$B$6/100*C332</f>
        <v/>
      </c>
      <c r="I332" s="12">
        <f>Calculator!$B$4*Calculator!$B$7/100*D332</f>
        <v/>
      </c>
      <c r="J332" s="12">
        <f>Calculator!$B$4*Calculator!$B$8/100*E332</f>
        <v/>
      </c>
      <c r="K332" s="12">
        <f>SUM(G332:J332)</f>
        <v/>
      </c>
      <c r="L332" s="12">
        <f>K332/F332</f>
        <v/>
      </c>
      <c r="M332" s="12">
        <f>MAX(M331,K332)</f>
        <v/>
      </c>
      <c r="N332" s="13">
        <f>K332/M332-1</f>
        <v/>
      </c>
      <c r="O332" s="12">
        <f>Calculator!$B$4*B332</f>
        <v/>
      </c>
      <c r="P332" s="12">
        <f>Calculator!$B$4*C332</f>
        <v/>
      </c>
      <c r="Q332" s="12">
        <f>Calculator!$B$4*D332</f>
        <v/>
      </c>
      <c r="R332" s="12">
        <f>Calculator!$B$4*F332</f>
        <v/>
      </c>
    </row>
    <row r="333">
      <c r="A333" s="6">
        <f>Data!A333</f>
        <v/>
      </c>
      <c r="B333" s="16">
        <f>Data!C333/Data!$C$5</f>
        <v/>
      </c>
      <c r="C333" s="16">
        <f>Data!G333/Data!$G$5</f>
        <v/>
      </c>
      <c r="D333" s="16">
        <f>D332*(1+Data!I333/100)</f>
        <v/>
      </c>
      <c r="E333" s="16" t="n">
        <v>1</v>
      </c>
      <c r="F333" s="16">
        <f>F332*(1+Data!H333/100)^(1/12)</f>
        <v/>
      </c>
      <c r="G333" s="12">
        <f>Calculator!$B$4*Calculator!$B$5/100*B333</f>
        <v/>
      </c>
      <c r="H333" s="12">
        <f>Calculator!$B$4*Calculator!$B$6/100*C333</f>
        <v/>
      </c>
      <c r="I333" s="12">
        <f>Calculator!$B$4*Calculator!$B$7/100*D333</f>
        <v/>
      </c>
      <c r="J333" s="12">
        <f>Calculator!$B$4*Calculator!$B$8/100*E333</f>
        <v/>
      </c>
      <c r="K333" s="12">
        <f>SUM(G333:J333)</f>
        <v/>
      </c>
      <c r="L333" s="12">
        <f>K333/F333</f>
        <v/>
      </c>
      <c r="M333" s="12">
        <f>MAX(M332,K333)</f>
        <v/>
      </c>
      <c r="N333" s="13">
        <f>K333/M333-1</f>
        <v/>
      </c>
      <c r="O333" s="12">
        <f>Calculator!$B$4*B333</f>
        <v/>
      </c>
      <c r="P333" s="12">
        <f>Calculator!$B$4*C333</f>
        <v/>
      </c>
      <c r="Q333" s="12">
        <f>Calculator!$B$4*D333</f>
        <v/>
      </c>
      <c r="R333" s="12">
        <f>Calculator!$B$4*F333</f>
        <v/>
      </c>
    </row>
    <row r="334">
      <c r="A334" s="6">
        <f>Data!A334</f>
        <v/>
      </c>
      <c r="B334" s="16">
        <f>Data!C334/Data!$C$5</f>
        <v/>
      </c>
      <c r="C334" s="16">
        <f>Data!G334/Data!$G$5</f>
        <v/>
      </c>
      <c r="D334" s="16">
        <f>D333*(1+Data!I334/100)</f>
        <v/>
      </c>
      <c r="E334" s="16" t="n">
        <v>1</v>
      </c>
      <c r="F334" s="16">
        <f>F333*(1+Data!H334/100)^(1/12)</f>
        <v/>
      </c>
      <c r="G334" s="12">
        <f>Calculator!$B$4*Calculator!$B$5/100*B334</f>
        <v/>
      </c>
      <c r="H334" s="12">
        <f>Calculator!$B$4*Calculator!$B$6/100*C334</f>
        <v/>
      </c>
      <c r="I334" s="12">
        <f>Calculator!$B$4*Calculator!$B$7/100*D334</f>
        <v/>
      </c>
      <c r="J334" s="12">
        <f>Calculator!$B$4*Calculator!$B$8/100*E334</f>
        <v/>
      </c>
      <c r="K334" s="12">
        <f>SUM(G334:J334)</f>
        <v/>
      </c>
      <c r="L334" s="12">
        <f>K334/F334</f>
        <v/>
      </c>
      <c r="M334" s="12">
        <f>MAX(M333,K334)</f>
        <v/>
      </c>
      <c r="N334" s="13">
        <f>K334/M334-1</f>
        <v/>
      </c>
      <c r="O334" s="12">
        <f>Calculator!$B$4*B334</f>
        <v/>
      </c>
      <c r="P334" s="12">
        <f>Calculator!$B$4*C334</f>
        <v/>
      </c>
      <c r="Q334" s="12">
        <f>Calculator!$B$4*D334</f>
        <v/>
      </c>
      <c r="R334" s="12">
        <f>Calculator!$B$4*F334</f>
        <v/>
      </c>
    </row>
    <row r="335">
      <c r="A335" s="6">
        <f>Data!A335</f>
        <v/>
      </c>
      <c r="B335" s="16">
        <f>Data!C335/Data!$C$5</f>
        <v/>
      </c>
      <c r="C335" s="16">
        <f>Data!G335/Data!$G$5</f>
        <v/>
      </c>
      <c r="D335" s="16">
        <f>D334*(1+Data!I335/100)</f>
        <v/>
      </c>
      <c r="E335" s="16" t="n">
        <v>1</v>
      </c>
      <c r="F335" s="16">
        <f>F334*(1+Data!H335/100)^(1/12)</f>
        <v/>
      </c>
      <c r="G335" s="12">
        <f>Calculator!$B$4*Calculator!$B$5/100*B335</f>
        <v/>
      </c>
      <c r="H335" s="12">
        <f>Calculator!$B$4*Calculator!$B$6/100*C335</f>
        <v/>
      </c>
      <c r="I335" s="12">
        <f>Calculator!$B$4*Calculator!$B$7/100*D335</f>
        <v/>
      </c>
      <c r="J335" s="12">
        <f>Calculator!$B$4*Calculator!$B$8/100*E335</f>
        <v/>
      </c>
      <c r="K335" s="12">
        <f>SUM(G335:J335)</f>
        <v/>
      </c>
      <c r="L335" s="12">
        <f>K335/F335</f>
        <v/>
      </c>
      <c r="M335" s="12">
        <f>MAX(M334,K335)</f>
        <v/>
      </c>
      <c r="N335" s="13">
        <f>K335/M335-1</f>
        <v/>
      </c>
      <c r="O335" s="12">
        <f>Calculator!$B$4*B335</f>
        <v/>
      </c>
      <c r="P335" s="12">
        <f>Calculator!$B$4*C335</f>
        <v/>
      </c>
      <c r="Q335" s="12">
        <f>Calculator!$B$4*D335</f>
        <v/>
      </c>
      <c r="R335" s="12">
        <f>Calculator!$B$4*F335</f>
        <v/>
      </c>
    </row>
    <row r="336">
      <c r="A336" s="6">
        <f>Data!A336</f>
        <v/>
      </c>
      <c r="B336" s="16">
        <f>Data!C336/Data!$C$5</f>
        <v/>
      </c>
      <c r="C336" s="16">
        <f>Data!G336/Data!$G$5</f>
        <v/>
      </c>
      <c r="D336" s="16">
        <f>D335*(1+Data!I336/100)</f>
        <v/>
      </c>
      <c r="E336" s="16" t="n">
        <v>1</v>
      </c>
      <c r="F336" s="16">
        <f>F335*(1+Data!H336/100)^(1/12)</f>
        <v/>
      </c>
      <c r="G336" s="12">
        <f>Calculator!$B$4*Calculator!$B$5/100*B336</f>
        <v/>
      </c>
      <c r="H336" s="12">
        <f>Calculator!$B$4*Calculator!$B$6/100*C336</f>
        <v/>
      </c>
      <c r="I336" s="12">
        <f>Calculator!$B$4*Calculator!$B$7/100*D336</f>
        <v/>
      </c>
      <c r="J336" s="12">
        <f>Calculator!$B$4*Calculator!$B$8/100*E336</f>
        <v/>
      </c>
      <c r="K336" s="12">
        <f>SUM(G336:J336)</f>
        <v/>
      </c>
      <c r="L336" s="12">
        <f>K336/F336</f>
        <v/>
      </c>
      <c r="M336" s="12">
        <f>MAX(M335,K336)</f>
        <v/>
      </c>
      <c r="N336" s="13">
        <f>K336/M336-1</f>
        <v/>
      </c>
      <c r="O336" s="12">
        <f>Calculator!$B$4*B336</f>
        <v/>
      </c>
      <c r="P336" s="12">
        <f>Calculator!$B$4*C336</f>
        <v/>
      </c>
      <c r="Q336" s="12">
        <f>Calculator!$B$4*D336</f>
        <v/>
      </c>
      <c r="R336" s="12">
        <f>Calculator!$B$4*F336</f>
        <v/>
      </c>
    </row>
    <row r="337">
      <c r="A337" s="6">
        <f>Data!A337</f>
        <v/>
      </c>
      <c r="B337" s="16">
        <f>Data!C337/Data!$C$5</f>
        <v/>
      </c>
      <c r="C337" s="16">
        <f>Data!G337/Data!$G$5</f>
        <v/>
      </c>
      <c r="D337" s="16">
        <f>D336*(1+Data!I337/100)</f>
        <v/>
      </c>
      <c r="E337" s="16" t="n">
        <v>1</v>
      </c>
      <c r="F337" s="16">
        <f>F336*(1+Data!H337/100)^(1/12)</f>
        <v/>
      </c>
      <c r="G337" s="12">
        <f>Calculator!$B$4*Calculator!$B$5/100*B337</f>
        <v/>
      </c>
      <c r="H337" s="12">
        <f>Calculator!$B$4*Calculator!$B$6/100*C337</f>
        <v/>
      </c>
      <c r="I337" s="12">
        <f>Calculator!$B$4*Calculator!$B$7/100*D337</f>
        <v/>
      </c>
      <c r="J337" s="12">
        <f>Calculator!$B$4*Calculator!$B$8/100*E337</f>
        <v/>
      </c>
      <c r="K337" s="12">
        <f>SUM(G337:J337)</f>
        <v/>
      </c>
      <c r="L337" s="12">
        <f>K337/F337</f>
        <v/>
      </c>
      <c r="M337" s="12">
        <f>MAX(M336,K337)</f>
        <v/>
      </c>
      <c r="N337" s="13">
        <f>K337/M337-1</f>
        <v/>
      </c>
      <c r="O337" s="12">
        <f>Calculator!$B$4*B337</f>
        <v/>
      </c>
      <c r="P337" s="12">
        <f>Calculator!$B$4*C337</f>
        <v/>
      </c>
      <c r="Q337" s="12">
        <f>Calculator!$B$4*D337</f>
        <v/>
      </c>
      <c r="R337" s="12">
        <f>Calculator!$B$4*F337</f>
        <v/>
      </c>
    </row>
    <row r="338">
      <c r="A338" s="6">
        <f>Data!A338</f>
        <v/>
      </c>
      <c r="B338" s="16">
        <f>Data!C338/Data!$C$5</f>
        <v/>
      </c>
      <c r="C338" s="16">
        <f>Data!G338/Data!$G$5</f>
        <v/>
      </c>
      <c r="D338" s="16">
        <f>D337*(1+Data!I338/100)</f>
        <v/>
      </c>
      <c r="E338" s="16" t="n">
        <v>1</v>
      </c>
      <c r="F338" s="16">
        <f>F337*(1+Data!H338/100)^(1/12)</f>
        <v/>
      </c>
      <c r="G338" s="12">
        <f>Calculator!$B$4*Calculator!$B$5/100*B338</f>
        <v/>
      </c>
      <c r="H338" s="12">
        <f>Calculator!$B$4*Calculator!$B$6/100*C338</f>
        <v/>
      </c>
      <c r="I338" s="12">
        <f>Calculator!$B$4*Calculator!$B$7/100*D338</f>
        <v/>
      </c>
      <c r="J338" s="12">
        <f>Calculator!$B$4*Calculator!$B$8/100*E338</f>
        <v/>
      </c>
      <c r="K338" s="12">
        <f>SUM(G338:J338)</f>
        <v/>
      </c>
      <c r="L338" s="12">
        <f>K338/F338</f>
        <v/>
      </c>
      <c r="M338" s="12">
        <f>MAX(M337,K338)</f>
        <v/>
      </c>
      <c r="N338" s="13">
        <f>K338/M338-1</f>
        <v/>
      </c>
      <c r="O338" s="12">
        <f>Calculator!$B$4*B338</f>
        <v/>
      </c>
      <c r="P338" s="12">
        <f>Calculator!$B$4*C338</f>
        <v/>
      </c>
      <c r="Q338" s="12">
        <f>Calculator!$B$4*D338</f>
        <v/>
      </c>
      <c r="R338" s="12">
        <f>Calculator!$B$4*F338</f>
        <v/>
      </c>
    </row>
    <row r="339">
      <c r="A339" s="6">
        <f>Data!A339</f>
        <v/>
      </c>
      <c r="B339" s="16">
        <f>Data!C339/Data!$C$5</f>
        <v/>
      </c>
      <c r="C339" s="16">
        <f>Data!G339/Data!$G$5</f>
        <v/>
      </c>
      <c r="D339" s="16">
        <f>D338*(1+Data!I339/100)</f>
        <v/>
      </c>
      <c r="E339" s="16" t="n">
        <v>1</v>
      </c>
      <c r="F339" s="16">
        <f>F338*(1+Data!H339/100)^(1/12)</f>
        <v/>
      </c>
      <c r="G339" s="12">
        <f>Calculator!$B$4*Calculator!$B$5/100*B339</f>
        <v/>
      </c>
      <c r="H339" s="12">
        <f>Calculator!$B$4*Calculator!$B$6/100*C339</f>
        <v/>
      </c>
      <c r="I339" s="12">
        <f>Calculator!$B$4*Calculator!$B$7/100*D339</f>
        <v/>
      </c>
      <c r="J339" s="12">
        <f>Calculator!$B$4*Calculator!$B$8/100*E339</f>
        <v/>
      </c>
      <c r="K339" s="12">
        <f>SUM(G339:J339)</f>
        <v/>
      </c>
      <c r="L339" s="12">
        <f>K339/F339</f>
        <v/>
      </c>
      <c r="M339" s="12">
        <f>MAX(M338,K339)</f>
        <v/>
      </c>
      <c r="N339" s="13">
        <f>K339/M339-1</f>
        <v/>
      </c>
      <c r="O339" s="12">
        <f>Calculator!$B$4*B339</f>
        <v/>
      </c>
      <c r="P339" s="12">
        <f>Calculator!$B$4*C339</f>
        <v/>
      </c>
      <c r="Q339" s="12">
        <f>Calculator!$B$4*D339</f>
        <v/>
      </c>
      <c r="R339" s="12">
        <f>Calculator!$B$4*F339</f>
        <v/>
      </c>
    </row>
    <row r="340">
      <c r="A340" s="6">
        <f>Data!A340</f>
        <v/>
      </c>
      <c r="B340" s="16">
        <f>Data!C340/Data!$C$5</f>
        <v/>
      </c>
      <c r="C340" s="16">
        <f>Data!G340/Data!$G$5</f>
        <v/>
      </c>
      <c r="D340" s="16">
        <f>D339*(1+Data!I340/100)</f>
        <v/>
      </c>
      <c r="E340" s="16" t="n">
        <v>1</v>
      </c>
      <c r="F340" s="16">
        <f>F339*(1+Data!H340/100)^(1/12)</f>
        <v/>
      </c>
      <c r="G340" s="12">
        <f>Calculator!$B$4*Calculator!$B$5/100*B340</f>
        <v/>
      </c>
      <c r="H340" s="12">
        <f>Calculator!$B$4*Calculator!$B$6/100*C340</f>
        <v/>
      </c>
      <c r="I340" s="12">
        <f>Calculator!$B$4*Calculator!$B$7/100*D340</f>
        <v/>
      </c>
      <c r="J340" s="12">
        <f>Calculator!$B$4*Calculator!$B$8/100*E340</f>
        <v/>
      </c>
      <c r="K340" s="12">
        <f>SUM(G340:J340)</f>
        <v/>
      </c>
      <c r="L340" s="12">
        <f>K340/F340</f>
        <v/>
      </c>
      <c r="M340" s="12">
        <f>MAX(M339,K340)</f>
        <v/>
      </c>
      <c r="N340" s="13">
        <f>K340/M340-1</f>
        <v/>
      </c>
      <c r="O340" s="12">
        <f>Calculator!$B$4*B340</f>
        <v/>
      </c>
      <c r="P340" s="12">
        <f>Calculator!$B$4*C340</f>
        <v/>
      </c>
      <c r="Q340" s="12">
        <f>Calculator!$B$4*D340</f>
        <v/>
      </c>
      <c r="R340" s="12">
        <f>Calculator!$B$4*F340</f>
        <v/>
      </c>
    </row>
    <row r="341">
      <c r="A341" s="6">
        <f>Data!A341</f>
        <v/>
      </c>
      <c r="B341" s="16">
        <f>Data!C341/Data!$C$5</f>
        <v/>
      </c>
      <c r="C341" s="16">
        <f>Data!G341/Data!$G$5</f>
        <v/>
      </c>
      <c r="D341" s="16">
        <f>D340*(1+Data!I341/100)</f>
        <v/>
      </c>
      <c r="E341" s="16" t="n">
        <v>1</v>
      </c>
      <c r="F341" s="16">
        <f>F340*(1+Data!H341/100)^(1/12)</f>
        <v/>
      </c>
      <c r="G341" s="12">
        <f>Calculator!$B$4*Calculator!$B$5/100*B341</f>
        <v/>
      </c>
      <c r="H341" s="12">
        <f>Calculator!$B$4*Calculator!$B$6/100*C341</f>
        <v/>
      </c>
      <c r="I341" s="12">
        <f>Calculator!$B$4*Calculator!$B$7/100*D341</f>
        <v/>
      </c>
      <c r="J341" s="12">
        <f>Calculator!$B$4*Calculator!$B$8/100*E341</f>
        <v/>
      </c>
      <c r="K341" s="12">
        <f>SUM(G341:J341)</f>
        <v/>
      </c>
      <c r="L341" s="12">
        <f>K341/F341</f>
        <v/>
      </c>
      <c r="M341" s="12">
        <f>MAX(M340,K341)</f>
        <v/>
      </c>
      <c r="N341" s="13">
        <f>K341/M341-1</f>
        <v/>
      </c>
      <c r="O341" s="12">
        <f>Calculator!$B$4*B341</f>
        <v/>
      </c>
      <c r="P341" s="12">
        <f>Calculator!$B$4*C341</f>
        <v/>
      </c>
      <c r="Q341" s="12">
        <f>Calculator!$B$4*D341</f>
        <v/>
      </c>
      <c r="R341" s="12">
        <f>Calculator!$B$4*F341</f>
        <v/>
      </c>
    </row>
    <row r="342">
      <c r="A342" s="6">
        <f>Data!A342</f>
        <v/>
      </c>
      <c r="B342" s="16">
        <f>Data!C342/Data!$C$5</f>
        <v/>
      </c>
      <c r="C342" s="16">
        <f>Data!G342/Data!$G$5</f>
        <v/>
      </c>
      <c r="D342" s="16">
        <f>D341*(1+Data!I342/100)</f>
        <v/>
      </c>
      <c r="E342" s="16" t="n">
        <v>1</v>
      </c>
      <c r="F342" s="16">
        <f>F341*(1+Data!H342/100)^(1/12)</f>
        <v/>
      </c>
      <c r="G342" s="12">
        <f>Calculator!$B$4*Calculator!$B$5/100*B342</f>
        <v/>
      </c>
      <c r="H342" s="12">
        <f>Calculator!$B$4*Calculator!$B$6/100*C342</f>
        <v/>
      </c>
      <c r="I342" s="12">
        <f>Calculator!$B$4*Calculator!$B$7/100*D342</f>
        <v/>
      </c>
      <c r="J342" s="12">
        <f>Calculator!$B$4*Calculator!$B$8/100*E342</f>
        <v/>
      </c>
      <c r="K342" s="12">
        <f>SUM(G342:J342)</f>
        <v/>
      </c>
      <c r="L342" s="12">
        <f>K342/F342</f>
        <v/>
      </c>
      <c r="M342" s="12">
        <f>MAX(M341,K342)</f>
        <v/>
      </c>
      <c r="N342" s="13">
        <f>K342/M342-1</f>
        <v/>
      </c>
      <c r="O342" s="12">
        <f>Calculator!$B$4*B342</f>
        <v/>
      </c>
      <c r="P342" s="12">
        <f>Calculator!$B$4*C342</f>
        <v/>
      </c>
      <c r="Q342" s="12">
        <f>Calculator!$B$4*D342</f>
        <v/>
      </c>
      <c r="R342" s="12">
        <f>Calculator!$B$4*F342</f>
        <v/>
      </c>
    </row>
    <row r="343">
      <c r="A343" s="6">
        <f>Data!A343</f>
        <v/>
      </c>
      <c r="B343" s="16">
        <f>Data!C343/Data!$C$5</f>
        <v/>
      </c>
      <c r="C343" s="16">
        <f>Data!G343/Data!$G$5</f>
        <v/>
      </c>
      <c r="D343" s="16">
        <f>D342*(1+Data!I343/100)</f>
        <v/>
      </c>
      <c r="E343" s="16" t="n">
        <v>1</v>
      </c>
      <c r="F343" s="16">
        <f>F342*(1+Data!H343/100)^(1/12)</f>
        <v/>
      </c>
      <c r="G343" s="12">
        <f>Calculator!$B$4*Calculator!$B$5/100*B343</f>
        <v/>
      </c>
      <c r="H343" s="12">
        <f>Calculator!$B$4*Calculator!$B$6/100*C343</f>
        <v/>
      </c>
      <c r="I343" s="12">
        <f>Calculator!$B$4*Calculator!$B$7/100*D343</f>
        <v/>
      </c>
      <c r="J343" s="12">
        <f>Calculator!$B$4*Calculator!$B$8/100*E343</f>
        <v/>
      </c>
      <c r="K343" s="12">
        <f>SUM(G343:J343)</f>
        <v/>
      </c>
      <c r="L343" s="12">
        <f>K343/F343</f>
        <v/>
      </c>
      <c r="M343" s="12">
        <f>MAX(M342,K343)</f>
        <v/>
      </c>
      <c r="N343" s="13">
        <f>K343/M343-1</f>
        <v/>
      </c>
      <c r="O343" s="12">
        <f>Calculator!$B$4*B343</f>
        <v/>
      </c>
      <c r="P343" s="12">
        <f>Calculator!$B$4*C343</f>
        <v/>
      </c>
      <c r="Q343" s="12">
        <f>Calculator!$B$4*D343</f>
        <v/>
      </c>
      <c r="R343" s="12">
        <f>Calculator!$B$4*F343</f>
        <v/>
      </c>
    </row>
    <row r="344">
      <c r="A344" s="6">
        <f>Data!A344</f>
        <v/>
      </c>
      <c r="B344" s="16">
        <f>Data!C344/Data!$C$5</f>
        <v/>
      </c>
      <c r="C344" s="16">
        <f>Data!G344/Data!$G$5</f>
        <v/>
      </c>
      <c r="D344" s="16">
        <f>D343*(1+Data!I344/100)</f>
        <v/>
      </c>
      <c r="E344" s="16" t="n">
        <v>1</v>
      </c>
      <c r="F344" s="16">
        <f>F343*(1+Data!H344/100)^(1/12)</f>
        <v/>
      </c>
      <c r="G344" s="12">
        <f>Calculator!$B$4*Calculator!$B$5/100*B344</f>
        <v/>
      </c>
      <c r="H344" s="12">
        <f>Calculator!$B$4*Calculator!$B$6/100*C344</f>
        <v/>
      </c>
      <c r="I344" s="12">
        <f>Calculator!$B$4*Calculator!$B$7/100*D344</f>
        <v/>
      </c>
      <c r="J344" s="12">
        <f>Calculator!$B$4*Calculator!$B$8/100*E344</f>
        <v/>
      </c>
      <c r="K344" s="12">
        <f>SUM(G344:J344)</f>
        <v/>
      </c>
      <c r="L344" s="12">
        <f>K344/F344</f>
        <v/>
      </c>
      <c r="M344" s="12">
        <f>MAX(M343,K344)</f>
        <v/>
      </c>
      <c r="N344" s="13">
        <f>K344/M344-1</f>
        <v/>
      </c>
      <c r="O344" s="12">
        <f>Calculator!$B$4*B344</f>
        <v/>
      </c>
      <c r="P344" s="12">
        <f>Calculator!$B$4*C344</f>
        <v/>
      </c>
      <c r="Q344" s="12">
        <f>Calculator!$B$4*D344</f>
        <v/>
      </c>
      <c r="R344" s="12">
        <f>Calculator!$B$4*F344</f>
        <v/>
      </c>
    </row>
    <row r="345">
      <c r="A345" s="6">
        <f>Data!A345</f>
        <v/>
      </c>
      <c r="B345" s="16">
        <f>Data!C345/Data!$C$5</f>
        <v/>
      </c>
      <c r="C345" s="16">
        <f>Data!G345/Data!$G$5</f>
        <v/>
      </c>
      <c r="D345" s="16">
        <f>D344*(1+Data!I345/100)</f>
        <v/>
      </c>
      <c r="E345" s="16" t="n">
        <v>1</v>
      </c>
      <c r="F345" s="16">
        <f>F344*(1+Data!H345/100)^(1/12)</f>
        <v/>
      </c>
      <c r="G345" s="12">
        <f>Calculator!$B$4*Calculator!$B$5/100*B345</f>
        <v/>
      </c>
      <c r="H345" s="12">
        <f>Calculator!$B$4*Calculator!$B$6/100*C345</f>
        <v/>
      </c>
      <c r="I345" s="12">
        <f>Calculator!$B$4*Calculator!$B$7/100*D345</f>
        <v/>
      </c>
      <c r="J345" s="12">
        <f>Calculator!$B$4*Calculator!$B$8/100*E345</f>
        <v/>
      </c>
      <c r="K345" s="12">
        <f>SUM(G345:J345)</f>
        <v/>
      </c>
      <c r="L345" s="12">
        <f>K345/F345</f>
        <v/>
      </c>
      <c r="M345" s="12">
        <f>MAX(M344,K345)</f>
        <v/>
      </c>
      <c r="N345" s="13">
        <f>K345/M345-1</f>
        <v/>
      </c>
      <c r="O345" s="12">
        <f>Calculator!$B$4*B345</f>
        <v/>
      </c>
      <c r="P345" s="12">
        <f>Calculator!$B$4*C345</f>
        <v/>
      </c>
      <c r="Q345" s="12">
        <f>Calculator!$B$4*D345</f>
        <v/>
      </c>
      <c r="R345" s="12">
        <f>Calculator!$B$4*F345</f>
        <v/>
      </c>
    </row>
    <row r="346">
      <c r="A346" s="6">
        <f>Data!A346</f>
        <v/>
      </c>
      <c r="B346" s="16">
        <f>Data!C346/Data!$C$5</f>
        <v/>
      </c>
      <c r="C346" s="16">
        <f>Data!G346/Data!$G$5</f>
        <v/>
      </c>
      <c r="D346" s="16">
        <f>D345*(1+Data!I346/100)</f>
        <v/>
      </c>
      <c r="E346" s="16" t="n">
        <v>1</v>
      </c>
      <c r="F346" s="16">
        <f>F345*(1+Data!H346/100)^(1/12)</f>
        <v/>
      </c>
      <c r="G346" s="12">
        <f>Calculator!$B$4*Calculator!$B$5/100*B346</f>
        <v/>
      </c>
      <c r="H346" s="12">
        <f>Calculator!$B$4*Calculator!$B$6/100*C346</f>
        <v/>
      </c>
      <c r="I346" s="12">
        <f>Calculator!$B$4*Calculator!$B$7/100*D346</f>
        <v/>
      </c>
      <c r="J346" s="12">
        <f>Calculator!$B$4*Calculator!$B$8/100*E346</f>
        <v/>
      </c>
      <c r="K346" s="12">
        <f>SUM(G346:J346)</f>
        <v/>
      </c>
      <c r="L346" s="12">
        <f>K346/F346</f>
        <v/>
      </c>
      <c r="M346" s="12">
        <f>MAX(M345,K346)</f>
        <v/>
      </c>
      <c r="N346" s="13">
        <f>K346/M346-1</f>
        <v/>
      </c>
      <c r="O346" s="12">
        <f>Calculator!$B$4*B346</f>
        <v/>
      </c>
      <c r="P346" s="12">
        <f>Calculator!$B$4*C346</f>
        <v/>
      </c>
      <c r="Q346" s="12">
        <f>Calculator!$B$4*D346</f>
        <v/>
      </c>
      <c r="R346" s="12">
        <f>Calculator!$B$4*F346</f>
        <v/>
      </c>
    </row>
    <row r="347">
      <c r="A347" s="6">
        <f>Data!A347</f>
        <v/>
      </c>
      <c r="B347" s="16">
        <f>Data!C347/Data!$C$5</f>
        <v/>
      </c>
      <c r="C347" s="16">
        <f>Data!G347/Data!$G$5</f>
        <v/>
      </c>
      <c r="D347" s="16">
        <f>D346*(1+Data!I347/100)</f>
        <v/>
      </c>
      <c r="E347" s="16" t="n">
        <v>1</v>
      </c>
      <c r="F347" s="16">
        <f>F346*(1+Data!H347/100)^(1/12)</f>
        <v/>
      </c>
      <c r="G347" s="12">
        <f>Calculator!$B$4*Calculator!$B$5/100*B347</f>
        <v/>
      </c>
      <c r="H347" s="12">
        <f>Calculator!$B$4*Calculator!$B$6/100*C347</f>
        <v/>
      </c>
      <c r="I347" s="12">
        <f>Calculator!$B$4*Calculator!$B$7/100*D347</f>
        <v/>
      </c>
      <c r="J347" s="12">
        <f>Calculator!$B$4*Calculator!$B$8/100*E347</f>
        <v/>
      </c>
      <c r="K347" s="12">
        <f>SUM(G347:J347)</f>
        <v/>
      </c>
      <c r="L347" s="12">
        <f>K347/F347</f>
        <v/>
      </c>
      <c r="M347" s="12">
        <f>MAX(M346,K347)</f>
        <v/>
      </c>
      <c r="N347" s="13">
        <f>K347/M347-1</f>
        <v/>
      </c>
      <c r="O347" s="12">
        <f>Calculator!$B$4*B347</f>
        <v/>
      </c>
      <c r="P347" s="12">
        <f>Calculator!$B$4*C347</f>
        <v/>
      </c>
      <c r="Q347" s="12">
        <f>Calculator!$B$4*D347</f>
        <v/>
      </c>
      <c r="R347" s="12">
        <f>Calculator!$B$4*F347</f>
        <v/>
      </c>
    </row>
    <row r="348">
      <c r="A348" s="6">
        <f>Data!A348</f>
        <v/>
      </c>
      <c r="B348" s="16">
        <f>Data!C348/Data!$C$5</f>
        <v/>
      </c>
      <c r="C348" s="16">
        <f>Data!G348/Data!$G$5</f>
        <v/>
      </c>
      <c r="D348" s="16">
        <f>D347*(1+Data!I348/100)</f>
        <v/>
      </c>
      <c r="E348" s="16" t="n">
        <v>1</v>
      </c>
      <c r="F348" s="16">
        <f>F347*(1+Data!H348/100)^(1/12)</f>
        <v/>
      </c>
      <c r="G348" s="12">
        <f>Calculator!$B$4*Calculator!$B$5/100*B348</f>
        <v/>
      </c>
      <c r="H348" s="12">
        <f>Calculator!$B$4*Calculator!$B$6/100*C348</f>
        <v/>
      </c>
      <c r="I348" s="12">
        <f>Calculator!$B$4*Calculator!$B$7/100*D348</f>
        <v/>
      </c>
      <c r="J348" s="12">
        <f>Calculator!$B$4*Calculator!$B$8/100*E348</f>
        <v/>
      </c>
      <c r="K348" s="12">
        <f>SUM(G348:J348)</f>
        <v/>
      </c>
      <c r="L348" s="12">
        <f>K348/F348</f>
        <v/>
      </c>
      <c r="M348" s="12">
        <f>MAX(M347,K348)</f>
        <v/>
      </c>
      <c r="N348" s="13">
        <f>K348/M348-1</f>
        <v/>
      </c>
      <c r="O348" s="12">
        <f>Calculator!$B$4*B348</f>
        <v/>
      </c>
      <c r="P348" s="12">
        <f>Calculator!$B$4*C348</f>
        <v/>
      </c>
      <c r="Q348" s="12">
        <f>Calculator!$B$4*D348</f>
        <v/>
      </c>
      <c r="R348" s="12">
        <f>Calculator!$B$4*F348</f>
        <v/>
      </c>
    </row>
    <row r="349">
      <c r="A349" s="6">
        <f>Data!A349</f>
        <v/>
      </c>
      <c r="B349" s="16">
        <f>Data!C349/Data!$C$5</f>
        <v/>
      </c>
      <c r="C349" s="16">
        <f>Data!G349/Data!$G$5</f>
        <v/>
      </c>
      <c r="D349" s="16">
        <f>D348*(1+Data!I349/100)</f>
        <v/>
      </c>
      <c r="E349" s="16" t="n">
        <v>1</v>
      </c>
      <c r="F349" s="16">
        <f>F348*(1+Data!H349/100)^(1/12)</f>
        <v/>
      </c>
      <c r="G349" s="12">
        <f>Calculator!$B$4*Calculator!$B$5/100*B349</f>
        <v/>
      </c>
      <c r="H349" s="12">
        <f>Calculator!$B$4*Calculator!$B$6/100*C349</f>
        <v/>
      </c>
      <c r="I349" s="12">
        <f>Calculator!$B$4*Calculator!$B$7/100*D349</f>
        <v/>
      </c>
      <c r="J349" s="12">
        <f>Calculator!$B$4*Calculator!$B$8/100*E349</f>
        <v/>
      </c>
      <c r="K349" s="12">
        <f>SUM(G349:J349)</f>
        <v/>
      </c>
      <c r="L349" s="12">
        <f>K349/F349</f>
        <v/>
      </c>
      <c r="M349" s="12">
        <f>MAX(M348,K349)</f>
        <v/>
      </c>
      <c r="N349" s="13">
        <f>K349/M349-1</f>
        <v/>
      </c>
      <c r="O349" s="12">
        <f>Calculator!$B$4*B349</f>
        <v/>
      </c>
      <c r="P349" s="12">
        <f>Calculator!$B$4*C349</f>
        <v/>
      </c>
      <c r="Q349" s="12">
        <f>Calculator!$B$4*D349</f>
        <v/>
      </c>
      <c r="R349" s="12">
        <f>Calculator!$B$4*F349</f>
        <v/>
      </c>
    </row>
    <row r="350">
      <c r="A350" s="6">
        <f>Data!A350</f>
        <v/>
      </c>
      <c r="B350" s="16">
        <f>Data!C350/Data!$C$5</f>
        <v/>
      </c>
      <c r="C350" s="16">
        <f>Data!G350/Data!$G$5</f>
        <v/>
      </c>
      <c r="D350" s="16">
        <f>D349*(1+Data!I350/100)</f>
        <v/>
      </c>
      <c r="E350" s="16" t="n">
        <v>1</v>
      </c>
      <c r="F350" s="16">
        <f>F349*(1+Data!H350/100)^(1/12)</f>
        <v/>
      </c>
      <c r="G350" s="12">
        <f>Calculator!$B$4*Calculator!$B$5/100*B350</f>
        <v/>
      </c>
      <c r="H350" s="12">
        <f>Calculator!$B$4*Calculator!$B$6/100*C350</f>
        <v/>
      </c>
      <c r="I350" s="12">
        <f>Calculator!$B$4*Calculator!$B$7/100*D350</f>
        <v/>
      </c>
      <c r="J350" s="12">
        <f>Calculator!$B$4*Calculator!$B$8/100*E350</f>
        <v/>
      </c>
      <c r="K350" s="12">
        <f>SUM(G350:J350)</f>
        <v/>
      </c>
      <c r="L350" s="12">
        <f>K350/F350</f>
        <v/>
      </c>
      <c r="M350" s="12">
        <f>MAX(M349,K350)</f>
        <v/>
      </c>
      <c r="N350" s="13">
        <f>K350/M350-1</f>
        <v/>
      </c>
      <c r="O350" s="12">
        <f>Calculator!$B$4*B350</f>
        <v/>
      </c>
      <c r="P350" s="12">
        <f>Calculator!$B$4*C350</f>
        <v/>
      </c>
      <c r="Q350" s="12">
        <f>Calculator!$B$4*D350</f>
        <v/>
      </c>
      <c r="R350" s="12">
        <f>Calculator!$B$4*F350</f>
        <v/>
      </c>
    </row>
    <row r="351">
      <c r="A351" s="6">
        <f>Data!A351</f>
        <v/>
      </c>
      <c r="B351" s="16">
        <f>Data!C351/Data!$C$5</f>
        <v/>
      </c>
      <c r="C351" s="16">
        <f>Data!G351/Data!$G$5</f>
        <v/>
      </c>
      <c r="D351" s="16">
        <f>D350*(1+Data!I351/100)</f>
        <v/>
      </c>
      <c r="E351" s="16" t="n">
        <v>1</v>
      </c>
      <c r="F351" s="16">
        <f>F350*(1+Data!H351/100)^(1/12)</f>
        <v/>
      </c>
      <c r="G351" s="12">
        <f>Calculator!$B$4*Calculator!$B$5/100*B351</f>
        <v/>
      </c>
      <c r="H351" s="12">
        <f>Calculator!$B$4*Calculator!$B$6/100*C351</f>
        <v/>
      </c>
      <c r="I351" s="12">
        <f>Calculator!$B$4*Calculator!$B$7/100*D351</f>
        <v/>
      </c>
      <c r="J351" s="12">
        <f>Calculator!$B$4*Calculator!$B$8/100*E351</f>
        <v/>
      </c>
      <c r="K351" s="12">
        <f>SUM(G351:J351)</f>
        <v/>
      </c>
      <c r="L351" s="12">
        <f>K351/F351</f>
        <v/>
      </c>
      <c r="M351" s="12">
        <f>MAX(M350,K351)</f>
        <v/>
      </c>
      <c r="N351" s="13">
        <f>K351/M351-1</f>
        <v/>
      </c>
      <c r="O351" s="12">
        <f>Calculator!$B$4*B351</f>
        <v/>
      </c>
      <c r="P351" s="12">
        <f>Calculator!$B$4*C351</f>
        <v/>
      </c>
      <c r="Q351" s="12">
        <f>Calculator!$B$4*D351</f>
        <v/>
      </c>
      <c r="R351" s="12">
        <f>Calculator!$B$4*F351</f>
        <v/>
      </c>
    </row>
    <row r="352">
      <c r="A352" s="6">
        <f>Data!A352</f>
        <v/>
      </c>
      <c r="B352" s="16">
        <f>Data!C352/Data!$C$5</f>
        <v/>
      </c>
      <c r="C352" s="16">
        <f>Data!G352/Data!$G$5</f>
        <v/>
      </c>
      <c r="D352" s="16">
        <f>D351*(1+Data!I352/100)</f>
        <v/>
      </c>
      <c r="E352" s="16" t="n">
        <v>1</v>
      </c>
      <c r="F352" s="16">
        <f>F351*(1+Data!H352/100)^(1/12)</f>
        <v/>
      </c>
      <c r="G352" s="12">
        <f>Calculator!$B$4*Calculator!$B$5/100*B352</f>
        <v/>
      </c>
      <c r="H352" s="12">
        <f>Calculator!$B$4*Calculator!$B$6/100*C352</f>
        <v/>
      </c>
      <c r="I352" s="12">
        <f>Calculator!$B$4*Calculator!$B$7/100*D352</f>
        <v/>
      </c>
      <c r="J352" s="12">
        <f>Calculator!$B$4*Calculator!$B$8/100*E352</f>
        <v/>
      </c>
      <c r="K352" s="12">
        <f>SUM(G352:J352)</f>
        <v/>
      </c>
      <c r="L352" s="12">
        <f>K352/F352</f>
        <v/>
      </c>
      <c r="M352" s="12">
        <f>MAX(M351,K352)</f>
        <v/>
      </c>
      <c r="N352" s="13">
        <f>K352/M352-1</f>
        <v/>
      </c>
      <c r="O352" s="12">
        <f>Calculator!$B$4*B352</f>
        <v/>
      </c>
      <c r="P352" s="12">
        <f>Calculator!$B$4*C352</f>
        <v/>
      </c>
      <c r="Q352" s="12">
        <f>Calculator!$B$4*D352</f>
        <v/>
      </c>
      <c r="R352" s="12">
        <f>Calculator!$B$4*F352</f>
        <v/>
      </c>
    </row>
    <row r="353">
      <c r="A353" s="6">
        <f>Data!A353</f>
        <v/>
      </c>
      <c r="B353" s="16">
        <f>Data!C353/Data!$C$5</f>
        <v/>
      </c>
      <c r="C353" s="16">
        <f>Data!G353/Data!$G$5</f>
        <v/>
      </c>
      <c r="D353" s="16">
        <f>D352*(1+Data!I353/100)</f>
        <v/>
      </c>
      <c r="E353" s="16" t="n">
        <v>1</v>
      </c>
      <c r="F353" s="16">
        <f>F352*(1+Data!H353/100)^(1/12)</f>
        <v/>
      </c>
      <c r="G353" s="12">
        <f>Calculator!$B$4*Calculator!$B$5/100*B353</f>
        <v/>
      </c>
      <c r="H353" s="12">
        <f>Calculator!$B$4*Calculator!$B$6/100*C353</f>
        <v/>
      </c>
      <c r="I353" s="12">
        <f>Calculator!$B$4*Calculator!$B$7/100*D353</f>
        <v/>
      </c>
      <c r="J353" s="12">
        <f>Calculator!$B$4*Calculator!$B$8/100*E353</f>
        <v/>
      </c>
      <c r="K353" s="12">
        <f>SUM(G353:J353)</f>
        <v/>
      </c>
      <c r="L353" s="12">
        <f>K353/F353</f>
        <v/>
      </c>
      <c r="M353" s="12">
        <f>MAX(M352,K353)</f>
        <v/>
      </c>
      <c r="N353" s="13">
        <f>K353/M353-1</f>
        <v/>
      </c>
      <c r="O353" s="12">
        <f>Calculator!$B$4*B353</f>
        <v/>
      </c>
      <c r="P353" s="12">
        <f>Calculator!$B$4*C353</f>
        <v/>
      </c>
      <c r="Q353" s="12">
        <f>Calculator!$B$4*D353</f>
        <v/>
      </c>
      <c r="R353" s="12">
        <f>Calculator!$B$4*F353</f>
        <v/>
      </c>
    </row>
    <row r="354">
      <c r="A354" s="6">
        <f>Data!A354</f>
        <v/>
      </c>
      <c r="B354" s="16">
        <f>Data!C354/Data!$C$5</f>
        <v/>
      </c>
      <c r="C354" s="16">
        <f>Data!G354/Data!$G$5</f>
        <v/>
      </c>
      <c r="D354" s="16">
        <f>D353*(1+Data!I354/100)</f>
        <v/>
      </c>
      <c r="E354" s="16" t="n">
        <v>1</v>
      </c>
      <c r="F354" s="16">
        <f>F353*(1+Data!H354/100)^(1/12)</f>
        <v/>
      </c>
      <c r="G354" s="12">
        <f>Calculator!$B$4*Calculator!$B$5/100*B354</f>
        <v/>
      </c>
      <c r="H354" s="12">
        <f>Calculator!$B$4*Calculator!$B$6/100*C354</f>
        <v/>
      </c>
      <c r="I354" s="12">
        <f>Calculator!$B$4*Calculator!$B$7/100*D354</f>
        <v/>
      </c>
      <c r="J354" s="12">
        <f>Calculator!$B$4*Calculator!$B$8/100*E354</f>
        <v/>
      </c>
      <c r="K354" s="12">
        <f>SUM(G354:J354)</f>
        <v/>
      </c>
      <c r="L354" s="12">
        <f>K354/F354</f>
        <v/>
      </c>
      <c r="M354" s="12">
        <f>MAX(M353,K354)</f>
        <v/>
      </c>
      <c r="N354" s="13">
        <f>K354/M354-1</f>
        <v/>
      </c>
      <c r="O354" s="12">
        <f>Calculator!$B$4*B354</f>
        <v/>
      </c>
      <c r="P354" s="12">
        <f>Calculator!$B$4*C354</f>
        <v/>
      </c>
      <c r="Q354" s="12">
        <f>Calculator!$B$4*D354</f>
        <v/>
      </c>
      <c r="R354" s="12">
        <f>Calculator!$B$4*F354</f>
        <v/>
      </c>
    </row>
    <row r="355">
      <c r="A355" s="6">
        <f>Data!A355</f>
        <v/>
      </c>
      <c r="B355" s="16">
        <f>Data!C355/Data!$C$5</f>
        <v/>
      </c>
      <c r="C355" s="16">
        <f>Data!G355/Data!$G$5</f>
        <v/>
      </c>
      <c r="D355" s="16">
        <f>D354*(1+Data!I355/100)</f>
        <v/>
      </c>
      <c r="E355" s="16" t="n">
        <v>1</v>
      </c>
      <c r="F355" s="16">
        <f>F354*(1+Data!H355/100)^(1/12)</f>
        <v/>
      </c>
      <c r="G355" s="12">
        <f>Calculator!$B$4*Calculator!$B$5/100*B355</f>
        <v/>
      </c>
      <c r="H355" s="12">
        <f>Calculator!$B$4*Calculator!$B$6/100*C355</f>
        <v/>
      </c>
      <c r="I355" s="12">
        <f>Calculator!$B$4*Calculator!$B$7/100*D355</f>
        <v/>
      </c>
      <c r="J355" s="12">
        <f>Calculator!$B$4*Calculator!$B$8/100*E355</f>
        <v/>
      </c>
      <c r="K355" s="12">
        <f>SUM(G355:J355)</f>
        <v/>
      </c>
      <c r="L355" s="12">
        <f>K355/F355</f>
        <v/>
      </c>
      <c r="M355" s="12">
        <f>MAX(M354,K355)</f>
        <v/>
      </c>
      <c r="N355" s="13">
        <f>K355/M355-1</f>
        <v/>
      </c>
      <c r="O355" s="12">
        <f>Calculator!$B$4*B355</f>
        <v/>
      </c>
      <c r="P355" s="12">
        <f>Calculator!$B$4*C355</f>
        <v/>
      </c>
      <c r="Q355" s="12">
        <f>Calculator!$B$4*D355</f>
        <v/>
      </c>
      <c r="R355" s="12">
        <f>Calculator!$B$4*F355</f>
        <v/>
      </c>
    </row>
    <row r="356">
      <c r="A356" s="6">
        <f>Data!A356</f>
        <v/>
      </c>
      <c r="B356" s="16">
        <f>Data!C356/Data!$C$5</f>
        <v/>
      </c>
      <c r="C356" s="16">
        <f>Data!G356/Data!$G$5</f>
        <v/>
      </c>
      <c r="D356" s="16">
        <f>D355*(1+Data!I356/100)</f>
        <v/>
      </c>
      <c r="E356" s="16" t="n">
        <v>1</v>
      </c>
      <c r="F356" s="16">
        <f>F355*(1+Data!H356/100)^(1/12)</f>
        <v/>
      </c>
      <c r="G356" s="12">
        <f>Calculator!$B$4*Calculator!$B$5/100*B356</f>
        <v/>
      </c>
      <c r="H356" s="12">
        <f>Calculator!$B$4*Calculator!$B$6/100*C356</f>
        <v/>
      </c>
      <c r="I356" s="12">
        <f>Calculator!$B$4*Calculator!$B$7/100*D356</f>
        <v/>
      </c>
      <c r="J356" s="12">
        <f>Calculator!$B$4*Calculator!$B$8/100*E356</f>
        <v/>
      </c>
      <c r="K356" s="12">
        <f>SUM(G356:J356)</f>
        <v/>
      </c>
      <c r="L356" s="12">
        <f>K356/F356</f>
        <v/>
      </c>
      <c r="M356" s="12">
        <f>MAX(M355,K356)</f>
        <v/>
      </c>
      <c r="N356" s="13">
        <f>K356/M356-1</f>
        <v/>
      </c>
      <c r="O356" s="12">
        <f>Calculator!$B$4*B356</f>
        <v/>
      </c>
      <c r="P356" s="12">
        <f>Calculator!$B$4*C356</f>
        <v/>
      </c>
      <c r="Q356" s="12">
        <f>Calculator!$B$4*D356</f>
        <v/>
      </c>
      <c r="R356" s="12">
        <f>Calculator!$B$4*F356</f>
        <v/>
      </c>
    </row>
    <row r="357">
      <c r="A357" s="6">
        <f>Data!A357</f>
        <v/>
      </c>
      <c r="B357" s="16">
        <f>Data!C357/Data!$C$5</f>
        <v/>
      </c>
      <c r="C357" s="16">
        <f>Data!G357/Data!$G$5</f>
        <v/>
      </c>
      <c r="D357" s="16">
        <f>D356*(1+Data!I357/100)</f>
        <v/>
      </c>
      <c r="E357" s="16" t="n">
        <v>1</v>
      </c>
      <c r="F357" s="16">
        <f>F356*(1+Data!H357/100)^(1/12)</f>
        <v/>
      </c>
      <c r="G357" s="12">
        <f>Calculator!$B$4*Calculator!$B$5/100*B357</f>
        <v/>
      </c>
      <c r="H357" s="12">
        <f>Calculator!$B$4*Calculator!$B$6/100*C357</f>
        <v/>
      </c>
      <c r="I357" s="12">
        <f>Calculator!$B$4*Calculator!$B$7/100*D357</f>
        <v/>
      </c>
      <c r="J357" s="12">
        <f>Calculator!$B$4*Calculator!$B$8/100*E357</f>
        <v/>
      </c>
      <c r="K357" s="12">
        <f>SUM(G357:J357)</f>
        <v/>
      </c>
      <c r="L357" s="12">
        <f>K357/F357</f>
        <v/>
      </c>
      <c r="M357" s="12">
        <f>MAX(M356,K357)</f>
        <v/>
      </c>
      <c r="N357" s="13">
        <f>K357/M357-1</f>
        <v/>
      </c>
      <c r="O357" s="12">
        <f>Calculator!$B$4*B357</f>
        <v/>
      </c>
      <c r="P357" s="12">
        <f>Calculator!$B$4*C357</f>
        <v/>
      </c>
      <c r="Q357" s="12">
        <f>Calculator!$B$4*D357</f>
        <v/>
      </c>
      <c r="R357" s="12">
        <f>Calculator!$B$4*F357</f>
        <v/>
      </c>
    </row>
    <row r="358">
      <c r="A358" s="6">
        <f>Data!A358</f>
        <v/>
      </c>
      <c r="B358" s="16">
        <f>Data!C358/Data!$C$5</f>
        <v/>
      </c>
      <c r="C358" s="16">
        <f>Data!G358/Data!$G$5</f>
        <v/>
      </c>
      <c r="D358" s="16">
        <f>D357*(1+Data!I358/100)</f>
        <v/>
      </c>
      <c r="E358" s="16" t="n">
        <v>1</v>
      </c>
      <c r="F358" s="16">
        <f>F357*(1+Data!H358/100)^(1/12)</f>
        <v/>
      </c>
      <c r="G358" s="12">
        <f>Calculator!$B$4*Calculator!$B$5/100*B358</f>
        <v/>
      </c>
      <c r="H358" s="12">
        <f>Calculator!$B$4*Calculator!$B$6/100*C358</f>
        <v/>
      </c>
      <c r="I358" s="12">
        <f>Calculator!$B$4*Calculator!$B$7/100*D358</f>
        <v/>
      </c>
      <c r="J358" s="12">
        <f>Calculator!$B$4*Calculator!$B$8/100*E358</f>
        <v/>
      </c>
      <c r="K358" s="12">
        <f>SUM(G358:J358)</f>
        <v/>
      </c>
      <c r="L358" s="12">
        <f>K358/F358</f>
        <v/>
      </c>
      <c r="M358" s="12">
        <f>MAX(M357,K358)</f>
        <v/>
      </c>
      <c r="N358" s="13">
        <f>K358/M358-1</f>
        <v/>
      </c>
      <c r="O358" s="12">
        <f>Calculator!$B$4*B358</f>
        <v/>
      </c>
      <c r="P358" s="12">
        <f>Calculator!$B$4*C358</f>
        <v/>
      </c>
      <c r="Q358" s="12">
        <f>Calculator!$B$4*D358</f>
        <v/>
      </c>
      <c r="R358" s="12">
        <f>Calculator!$B$4*F358</f>
        <v/>
      </c>
    </row>
    <row r="359">
      <c r="A359" s="6">
        <f>Data!A359</f>
        <v/>
      </c>
      <c r="B359" s="16">
        <f>Data!C359/Data!$C$5</f>
        <v/>
      </c>
      <c r="C359" s="16">
        <f>Data!G359/Data!$G$5</f>
        <v/>
      </c>
      <c r="D359" s="16">
        <f>D358*(1+Data!I359/100)</f>
        <v/>
      </c>
      <c r="E359" s="16" t="n">
        <v>1</v>
      </c>
      <c r="F359" s="16">
        <f>F358*(1+Data!H359/100)^(1/12)</f>
        <v/>
      </c>
      <c r="G359" s="12">
        <f>Calculator!$B$4*Calculator!$B$5/100*B359</f>
        <v/>
      </c>
      <c r="H359" s="12">
        <f>Calculator!$B$4*Calculator!$B$6/100*C359</f>
        <v/>
      </c>
      <c r="I359" s="12">
        <f>Calculator!$B$4*Calculator!$B$7/100*D359</f>
        <v/>
      </c>
      <c r="J359" s="12">
        <f>Calculator!$B$4*Calculator!$B$8/100*E359</f>
        <v/>
      </c>
      <c r="K359" s="12">
        <f>SUM(G359:J359)</f>
        <v/>
      </c>
      <c r="L359" s="12">
        <f>K359/F359</f>
        <v/>
      </c>
      <c r="M359" s="12">
        <f>MAX(M358,K359)</f>
        <v/>
      </c>
      <c r="N359" s="13">
        <f>K359/M359-1</f>
        <v/>
      </c>
      <c r="O359" s="12">
        <f>Calculator!$B$4*B359</f>
        <v/>
      </c>
      <c r="P359" s="12">
        <f>Calculator!$B$4*C359</f>
        <v/>
      </c>
      <c r="Q359" s="12">
        <f>Calculator!$B$4*D359</f>
        <v/>
      </c>
      <c r="R359" s="12">
        <f>Calculator!$B$4*F359</f>
        <v/>
      </c>
    </row>
    <row r="360">
      <c r="A360" s="6">
        <f>Data!A360</f>
        <v/>
      </c>
      <c r="B360" s="16">
        <f>Data!C360/Data!$C$5</f>
        <v/>
      </c>
      <c r="C360" s="16">
        <f>Data!G360/Data!$G$5</f>
        <v/>
      </c>
      <c r="D360" s="16">
        <f>D359*(1+Data!I360/100)</f>
        <v/>
      </c>
      <c r="E360" s="16" t="n">
        <v>1</v>
      </c>
      <c r="F360" s="16">
        <f>F359*(1+Data!H360/100)^(1/12)</f>
        <v/>
      </c>
      <c r="G360" s="12">
        <f>Calculator!$B$4*Calculator!$B$5/100*B360</f>
        <v/>
      </c>
      <c r="H360" s="12">
        <f>Calculator!$B$4*Calculator!$B$6/100*C360</f>
        <v/>
      </c>
      <c r="I360" s="12">
        <f>Calculator!$B$4*Calculator!$B$7/100*D360</f>
        <v/>
      </c>
      <c r="J360" s="12">
        <f>Calculator!$B$4*Calculator!$B$8/100*E360</f>
        <v/>
      </c>
      <c r="K360" s="12">
        <f>SUM(G360:J360)</f>
        <v/>
      </c>
      <c r="L360" s="12">
        <f>K360/F360</f>
        <v/>
      </c>
      <c r="M360" s="12">
        <f>MAX(M359,K360)</f>
        <v/>
      </c>
      <c r="N360" s="13">
        <f>K360/M360-1</f>
        <v/>
      </c>
      <c r="O360" s="12">
        <f>Calculator!$B$4*B360</f>
        <v/>
      </c>
      <c r="P360" s="12">
        <f>Calculator!$B$4*C360</f>
        <v/>
      </c>
      <c r="Q360" s="12">
        <f>Calculator!$B$4*D360</f>
        <v/>
      </c>
      <c r="R360" s="12">
        <f>Calculator!$B$4*F360</f>
        <v/>
      </c>
    </row>
    <row r="361">
      <c r="A361" s="6">
        <f>Data!A361</f>
        <v/>
      </c>
      <c r="B361" s="16">
        <f>Data!C361/Data!$C$5</f>
        <v/>
      </c>
      <c r="C361" s="16">
        <f>Data!G361/Data!$G$5</f>
        <v/>
      </c>
      <c r="D361" s="16">
        <f>D360*(1+Data!I361/100)</f>
        <v/>
      </c>
      <c r="E361" s="16" t="n">
        <v>1</v>
      </c>
      <c r="F361" s="16">
        <f>F360*(1+Data!H361/100)^(1/12)</f>
        <v/>
      </c>
      <c r="G361" s="12">
        <f>Calculator!$B$4*Calculator!$B$5/100*B361</f>
        <v/>
      </c>
      <c r="H361" s="12">
        <f>Calculator!$B$4*Calculator!$B$6/100*C361</f>
        <v/>
      </c>
      <c r="I361" s="12">
        <f>Calculator!$B$4*Calculator!$B$7/100*D361</f>
        <v/>
      </c>
      <c r="J361" s="12">
        <f>Calculator!$B$4*Calculator!$B$8/100*E361</f>
        <v/>
      </c>
      <c r="K361" s="12">
        <f>SUM(G361:J361)</f>
        <v/>
      </c>
      <c r="L361" s="12">
        <f>K361/F361</f>
        <v/>
      </c>
      <c r="M361" s="12">
        <f>MAX(M360,K361)</f>
        <v/>
      </c>
      <c r="N361" s="13">
        <f>K361/M361-1</f>
        <v/>
      </c>
      <c r="O361" s="12">
        <f>Calculator!$B$4*B361</f>
        <v/>
      </c>
      <c r="P361" s="12">
        <f>Calculator!$B$4*C361</f>
        <v/>
      </c>
      <c r="Q361" s="12">
        <f>Calculator!$B$4*D361</f>
        <v/>
      </c>
      <c r="R361" s="12">
        <f>Calculator!$B$4*F361</f>
        <v/>
      </c>
    </row>
    <row r="362">
      <c r="A362" s="6">
        <f>Data!A362</f>
        <v/>
      </c>
      <c r="B362" s="16">
        <f>Data!C362/Data!$C$5</f>
        <v/>
      </c>
      <c r="C362" s="16">
        <f>Data!G362/Data!$G$5</f>
        <v/>
      </c>
      <c r="D362" s="16">
        <f>D361*(1+Data!I362/100)</f>
        <v/>
      </c>
      <c r="E362" s="16" t="n">
        <v>1</v>
      </c>
      <c r="F362" s="16">
        <f>F361*(1+Data!H362/100)^(1/12)</f>
        <v/>
      </c>
      <c r="G362" s="12">
        <f>Calculator!$B$4*Calculator!$B$5/100*B362</f>
        <v/>
      </c>
      <c r="H362" s="12">
        <f>Calculator!$B$4*Calculator!$B$6/100*C362</f>
        <v/>
      </c>
      <c r="I362" s="12">
        <f>Calculator!$B$4*Calculator!$B$7/100*D362</f>
        <v/>
      </c>
      <c r="J362" s="12">
        <f>Calculator!$B$4*Calculator!$B$8/100*E362</f>
        <v/>
      </c>
      <c r="K362" s="12">
        <f>SUM(G362:J362)</f>
        <v/>
      </c>
      <c r="L362" s="12">
        <f>K362/F362</f>
        <v/>
      </c>
      <c r="M362" s="12">
        <f>MAX(M361,K362)</f>
        <v/>
      </c>
      <c r="N362" s="13">
        <f>K362/M362-1</f>
        <v/>
      </c>
      <c r="O362" s="12">
        <f>Calculator!$B$4*B362</f>
        <v/>
      </c>
      <c r="P362" s="12">
        <f>Calculator!$B$4*C362</f>
        <v/>
      </c>
      <c r="Q362" s="12">
        <f>Calculator!$B$4*D362</f>
        <v/>
      </c>
      <c r="R362" s="12">
        <f>Calculator!$B$4*F362</f>
        <v/>
      </c>
    </row>
    <row r="363">
      <c r="A363" s="6">
        <f>Data!A363</f>
        <v/>
      </c>
      <c r="B363" s="16">
        <f>Data!C363/Data!$C$5</f>
        <v/>
      </c>
      <c r="C363" s="16">
        <f>Data!G363/Data!$G$5</f>
        <v/>
      </c>
      <c r="D363" s="16">
        <f>D362*(1+Data!I363/100)</f>
        <v/>
      </c>
      <c r="E363" s="16" t="n">
        <v>1</v>
      </c>
      <c r="F363" s="16">
        <f>F362*(1+Data!H363/100)^(1/12)</f>
        <v/>
      </c>
      <c r="G363" s="12">
        <f>Calculator!$B$4*Calculator!$B$5/100*B363</f>
        <v/>
      </c>
      <c r="H363" s="12">
        <f>Calculator!$B$4*Calculator!$B$6/100*C363</f>
        <v/>
      </c>
      <c r="I363" s="12">
        <f>Calculator!$B$4*Calculator!$B$7/100*D363</f>
        <v/>
      </c>
      <c r="J363" s="12">
        <f>Calculator!$B$4*Calculator!$B$8/100*E363</f>
        <v/>
      </c>
      <c r="K363" s="12">
        <f>SUM(G363:J363)</f>
        <v/>
      </c>
      <c r="L363" s="12">
        <f>K363/F363</f>
        <v/>
      </c>
      <c r="M363" s="12">
        <f>MAX(M362,K363)</f>
        <v/>
      </c>
      <c r="N363" s="13">
        <f>K363/M363-1</f>
        <v/>
      </c>
      <c r="O363" s="12">
        <f>Calculator!$B$4*B363</f>
        <v/>
      </c>
      <c r="P363" s="12">
        <f>Calculator!$B$4*C363</f>
        <v/>
      </c>
      <c r="Q363" s="12">
        <f>Calculator!$B$4*D363</f>
        <v/>
      </c>
      <c r="R363" s="12">
        <f>Calculator!$B$4*F363</f>
        <v/>
      </c>
    </row>
    <row r="364">
      <c r="A364" s="6">
        <f>Data!A364</f>
        <v/>
      </c>
      <c r="B364" s="16">
        <f>Data!C364/Data!$C$5</f>
        <v/>
      </c>
      <c r="C364" s="16">
        <f>Data!G364/Data!$G$5</f>
        <v/>
      </c>
      <c r="D364" s="16">
        <f>D363*(1+Data!I364/100)</f>
        <v/>
      </c>
      <c r="E364" s="16" t="n">
        <v>1</v>
      </c>
      <c r="F364" s="16">
        <f>F363*(1+Data!H364/100)^(1/12)</f>
        <v/>
      </c>
      <c r="G364" s="12">
        <f>Calculator!$B$4*Calculator!$B$5/100*B364</f>
        <v/>
      </c>
      <c r="H364" s="12">
        <f>Calculator!$B$4*Calculator!$B$6/100*C364</f>
        <v/>
      </c>
      <c r="I364" s="12">
        <f>Calculator!$B$4*Calculator!$B$7/100*D364</f>
        <v/>
      </c>
      <c r="J364" s="12">
        <f>Calculator!$B$4*Calculator!$B$8/100*E364</f>
        <v/>
      </c>
      <c r="K364" s="12">
        <f>SUM(G364:J364)</f>
        <v/>
      </c>
      <c r="L364" s="12">
        <f>K364/F364</f>
        <v/>
      </c>
      <c r="M364" s="12">
        <f>MAX(M363,K364)</f>
        <v/>
      </c>
      <c r="N364" s="13">
        <f>K364/M364-1</f>
        <v/>
      </c>
      <c r="O364" s="12">
        <f>Calculator!$B$4*B364</f>
        <v/>
      </c>
      <c r="P364" s="12">
        <f>Calculator!$B$4*C364</f>
        <v/>
      </c>
      <c r="Q364" s="12">
        <f>Calculator!$B$4*D364</f>
        <v/>
      </c>
      <c r="R364" s="12">
        <f>Calculator!$B$4*F364</f>
        <v/>
      </c>
    </row>
    <row r="365">
      <c r="A365" s="6">
        <f>Data!A365</f>
        <v/>
      </c>
      <c r="B365" s="16">
        <f>Data!C365/Data!$C$5</f>
        <v/>
      </c>
      <c r="C365" s="16">
        <f>Data!G365/Data!$G$5</f>
        <v/>
      </c>
      <c r="D365" s="16">
        <f>D364*(1+Data!I365/100)</f>
        <v/>
      </c>
      <c r="E365" s="16" t="n">
        <v>1</v>
      </c>
      <c r="F365" s="16">
        <f>F364*(1+Data!H365/100)^(1/12)</f>
        <v/>
      </c>
      <c r="G365" s="12">
        <f>Calculator!$B$4*Calculator!$B$5/100*B365</f>
        <v/>
      </c>
      <c r="H365" s="12">
        <f>Calculator!$B$4*Calculator!$B$6/100*C365</f>
        <v/>
      </c>
      <c r="I365" s="12">
        <f>Calculator!$B$4*Calculator!$B$7/100*D365</f>
        <v/>
      </c>
      <c r="J365" s="12">
        <f>Calculator!$B$4*Calculator!$B$8/100*E365</f>
        <v/>
      </c>
      <c r="K365" s="12">
        <f>SUM(G365:J365)</f>
        <v/>
      </c>
      <c r="L365" s="12">
        <f>K365/F365</f>
        <v/>
      </c>
      <c r="M365" s="12">
        <f>MAX(M364,K365)</f>
        <v/>
      </c>
      <c r="N365" s="13">
        <f>K365/M365-1</f>
        <v/>
      </c>
      <c r="O365" s="12">
        <f>Calculator!$B$4*B365</f>
        <v/>
      </c>
      <c r="P365" s="12">
        <f>Calculator!$B$4*C365</f>
        <v/>
      </c>
      <c r="Q365" s="12">
        <f>Calculator!$B$4*D365</f>
        <v/>
      </c>
      <c r="R365" s="12">
        <f>Calculator!$B$4*F365</f>
        <v/>
      </c>
    </row>
    <row r="366">
      <c r="A366" s="6">
        <f>Data!A366</f>
        <v/>
      </c>
      <c r="B366" s="16">
        <f>Data!C366/Data!$C$5</f>
        <v/>
      </c>
      <c r="C366" s="16">
        <f>Data!G366/Data!$G$5</f>
        <v/>
      </c>
      <c r="D366" s="16">
        <f>D365*(1+Data!I366/100)</f>
        <v/>
      </c>
      <c r="E366" s="16" t="n">
        <v>1</v>
      </c>
      <c r="F366" s="16">
        <f>F365*(1+Data!H366/100)^(1/12)</f>
        <v/>
      </c>
      <c r="G366" s="12">
        <f>Calculator!$B$4*Calculator!$B$5/100*B366</f>
        <v/>
      </c>
      <c r="H366" s="12">
        <f>Calculator!$B$4*Calculator!$B$6/100*C366</f>
        <v/>
      </c>
      <c r="I366" s="12">
        <f>Calculator!$B$4*Calculator!$B$7/100*D366</f>
        <v/>
      </c>
      <c r="J366" s="12">
        <f>Calculator!$B$4*Calculator!$B$8/100*E366</f>
        <v/>
      </c>
      <c r="K366" s="12">
        <f>SUM(G366:J366)</f>
        <v/>
      </c>
      <c r="L366" s="12">
        <f>K366/F366</f>
        <v/>
      </c>
      <c r="M366" s="12">
        <f>MAX(M365,K366)</f>
        <v/>
      </c>
      <c r="N366" s="13">
        <f>K366/M366-1</f>
        <v/>
      </c>
      <c r="O366" s="12">
        <f>Calculator!$B$4*B366</f>
        <v/>
      </c>
      <c r="P366" s="12">
        <f>Calculator!$B$4*C366</f>
        <v/>
      </c>
      <c r="Q366" s="12">
        <f>Calculator!$B$4*D366</f>
        <v/>
      </c>
      <c r="R366" s="12">
        <f>Calculator!$B$4*F366</f>
        <v/>
      </c>
    </row>
    <row r="367">
      <c r="A367" s="6">
        <f>Data!A367</f>
        <v/>
      </c>
      <c r="B367" s="16">
        <f>Data!C367/Data!$C$5</f>
        <v/>
      </c>
      <c r="C367" s="16">
        <f>Data!G367/Data!$G$5</f>
        <v/>
      </c>
      <c r="D367" s="16">
        <f>D366*(1+Data!I367/100)</f>
        <v/>
      </c>
      <c r="E367" s="16" t="n">
        <v>1</v>
      </c>
      <c r="F367" s="16">
        <f>F366*(1+Data!H367/100)^(1/12)</f>
        <v/>
      </c>
      <c r="G367" s="12">
        <f>Calculator!$B$4*Calculator!$B$5/100*B367</f>
        <v/>
      </c>
      <c r="H367" s="12">
        <f>Calculator!$B$4*Calculator!$B$6/100*C367</f>
        <v/>
      </c>
      <c r="I367" s="12">
        <f>Calculator!$B$4*Calculator!$B$7/100*D367</f>
        <v/>
      </c>
      <c r="J367" s="12">
        <f>Calculator!$B$4*Calculator!$B$8/100*E367</f>
        <v/>
      </c>
      <c r="K367" s="12">
        <f>SUM(G367:J367)</f>
        <v/>
      </c>
      <c r="L367" s="12">
        <f>K367/F367</f>
        <v/>
      </c>
      <c r="M367" s="12">
        <f>MAX(M366,K367)</f>
        <v/>
      </c>
      <c r="N367" s="13">
        <f>K367/M367-1</f>
        <v/>
      </c>
      <c r="O367" s="12">
        <f>Calculator!$B$4*B367</f>
        <v/>
      </c>
      <c r="P367" s="12">
        <f>Calculator!$B$4*C367</f>
        <v/>
      </c>
      <c r="Q367" s="12">
        <f>Calculator!$B$4*D367</f>
        <v/>
      </c>
      <c r="R367" s="12">
        <f>Calculator!$B$4*F367</f>
        <v/>
      </c>
    </row>
    <row r="368">
      <c r="A368" s="6">
        <f>Data!A368</f>
        <v/>
      </c>
      <c r="B368" s="16">
        <f>Data!C368/Data!$C$5</f>
        <v/>
      </c>
      <c r="C368" s="16">
        <f>Data!G368/Data!$G$5</f>
        <v/>
      </c>
      <c r="D368" s="16">
        <f>D367*(1+Data!I368/100)</f>
        <v/>
      </c>
      <c r="E368" s="16" t="n">
        <v>1</v>
      </c>
      <c r="F368" s="16">
        <f>F367*(1+Data!H368/100)^(1/12)</f>
        <v/>
      </c>
      <c r="G368" s="12">
        <f>Calculator!$B$4*Calculator!$B$5/100*B368</f>
        <v/>
      </c>
      <c r="H368" s="12">
        <f>Calculator!$B$4*Calculator!$B$6/100*C368</f>
        <v/>
      </c>
      <c r="I368" s="12">
        <f>Calculator!$B$4*Calculator!$B$7/100*D368</f>
        <v/>
      </c>
      <c r="J368" s="12">
        <f>Calculator!$B$4*Calculator!$B$8/100*E368</f>
        <v/>
      </c>
      <c r="K368" s="12">
        <f>SUM(G368:J368)</f>
        <v/>
      </c>
      <c r="L368" s="12">
        <f>K368/F368</f>
        <v/>
      </c>
      <c r="M368" s="12">
        <f>MAX(M367,K368)</f>
        <v/>
      </c>
      <c r="N368" s="13">
        <f>K368/M368-1</f>
        <v/>
      </c>
      <c r="O368" s="12">
        <f>Calculator!$B$4*B368</f>
        <v/>
      </c>
      <c r="P368" s="12">
        <f>Calculator!$B$4*C368</f>
        <v/>
      </c>
      <c r="Q368" s="12">
        <f>Calculator!$B$4*D368</f>
        <v/>
      </c>
      <c r="R368" s="12">
        <f>Calculator!$B$4*F368</f>
        <v/>
      </c>
    </row>
    <row r="369">
      <c r="A369" s="6">
        <f>Data!A369</f>
        <v/>
      </c>
      <c r="B369" s="16">
        <f>Data!C369/Data!$C$5</f>
        <v/>
      </c>
      <c r="C369" s="16">
        <f>Data!G369/Data!$G$5</f>
        <v/>
      </c>
      <c r="D369" s="16">
        <f>D368*(1+Data!I369/100)</f>
        <v/>
      </c>
      <c r="E369" s="16" t="n">
        <v>1</v>
      </c>
      <c r="F369" s="16">
        <f>F368*(1+Data!H369/100)^(1/12)</f>
        <v/>
      </c>
      <c r="G369" s="12">
        <f>Calculator!$B$4*Calculator!$B$5/100*B369</f>
        <v/>
      </c>
      <c r="H369" s="12">
        <f>Calculator!$B$4*Calculator!$B$6/100*C369</f>
        <v/>
      </c>
      <c r="I369" s="12">
        <f>Calculator!$B$4*Calculator!$B$7/100*D369</f>
        <v/>
      </c>
      <c r="J369" s="12">
        <f>Calculator!$B$4*Calculator!$B$8/100*E369</f>
        <v/>
      </c>
      <c r="K369" s="12">
        <f>SUM(G369:J369)</f>
        <v/>
      </c>
      <c r="L369" s="12">
        <f>K369/F369</f>
        <v/>
      </c>
      <c r="M369" s="12">
        <f>MAX(M368,K369)</f>
        <v/>
      </c>
      <c r="N369" s="13">
        <f>K369/M369-1</f>
        <v/>
      </c>
      <c r="O369" s="12">
        <f>Calculator!$B$4*B369</f>
        <v/>
      </c>
      <c r="P369" s="12">
        <f>Calculator!$B$4*C369</f>
        <v/>
      </c>
      <c r="Q369" s="12">
        <f>Calculator!$B$4*D369</f>
        <v/>
      </c>
      <c r="R369" s="12">
        <f>Calculator!$B$4*F369</f>
        <v/>
      </c>
    </row>
    <row r="370">
      <c r="A370" s="6">
        <f>Data!A370</f>
        <v/>
      </c>
      <c r="B370" s="16">
        <f>Data!C370/Data!$C$5</f>
        <v/>
      </c>
      <c r="C370" s="16">
        <f>Data!G370/Data!$G$5</f>
        <v/>
      </c>
      <c r="D370" s="16">
        <f>D369*(1+Data!I370/100)</f>
        <v/>
      </c>
      <c r="E370" s="16" t="n">
        <v>1</v>
      </c>
      <c r="F370" s="16">
        <f>F369*(1+Data!H370/100)^(1/12)</f>
        <v/>
      </c>
      <c r="G370" s="12">
        <f>Calculator!$B$4*Calculator!$B$5/100*B370</f>
        <v/>
      </c>
      <c r="H370" s="12">
        <f>Calculator!$B$4*Calculator!$B$6/100*C370</f>
        <v/>
      </c>
      <c r="I370" s="12">
        <f>Calculator!$B$4*Calculator!$B$7/100*D370</f>
        <v/>
      </c>
      <c r="J370" s="12">
        <f>Calculator!$B$4*Calculator!$B$8/100*E370</f>
        <v/>
      </c>
      <c r="K370" s="12">
        <f>SUM(G370:J370)</f>
        <v/>
      </c>
      <c r="L370" s="12">
        <f>K370/F370</f>
        <v/>
      </c>
      <c r="M370" s="12">
        <f>MAX(M369,K370)</f>
        <v/>
      </c>
      <c r="N370" s="13">
        <f>K370/M370-1</f>
        <v/>
      </c>
      <c r="O370" s="12">
        <f>Calculator!$B$4*B370</f>
        <v/>
      </c>
      <c r="P370" s="12">
        <f>Calculator!$B$4*C370</f>
        <v/>
      </c>
      <c r="Q370" s="12">
        <f>Calculator!$B$4*D370</f>
        <v/>
      </c>
      <c r="R370" s="12">
        <f>Calculator!$B$4*F370</f>
        <v/>
      </c>
    </row>
    <row r="371">
      <c r="A371" s="6">
        <f>Data!A371</f>
        <v/>
      </c>
      <c r="B371" s="16">
        <f>Data!C371/Data!$C$5</f>
        <v/>
      </c>
      <c r="C371" s="16">
        <f>Data!G371/Data!$G$5</f>
        <v/>
      </c>
      <c r="D371" s="16">
        <f>D370*(1+Data!I371/100)</f>
        <v/>
      </c>
      <c r="E371" s="16" t="n">
        <v>1</v>
      </c>
      <c r="F371" s="16">
        <f>F370*(1+Data!H371/100)^(1/12)</f>
        <v/>
      </c>
      <c r="G371" s="12">
        <f>Calculator!$B$4*Calculator!$B$5/100*B371</f>
        <v/>
      </c>
      <c r="H371" s="12">
        <f>Calculator!$B$4*Calculator!$B$6/100*C371</f>
        <v/>
      </c>
      <c r="I371" s="12">
        <f>Calculator!$B$4*Calculator!$B$7/100*D371</f>
        <v/>
      </c>
      <c r="J371" s="12">
        <f>Calculator!$B$4*Calculator!$B$8/100*E371</f>
        <v/>
      </c>
      <c r="K371" s="12">
        <f>SUM(G371:J371)</f>
        <v/>
      </c>
      <c r="L371" s="12">
        <f>K371/F371</f>
        <v/>
      </c>
      <c r="M371" s="12">
        <f>MAX(M370,K371)</f>
        <v/>
      </c>
      <c r="N371" s="13">
        <f>K371/M371-1</f>
        <v/>
      </c>
      <c r="O371" s="12">
        <f>Calculator!$B$4*B371</f>
        <v/>
      </c>
      <c r="P371" s="12">
        <f>Calculator!$B$4*C371</f>
        <v/>
      </c>
      <c r="Q371" s="12">
        <f>Calculator!$B$4*D371</f>
        <v/>
      </c>
      <c r="R371" s="12">
        <f>Calculator!$B$4*F371</f>
        <v/>
      </c>
    </row>
    <row r="372">
      <c r="A372" s="6">
        <f>Data!A372</f>
        <v/>
      </c>
      <c r="B372" s="16">
        <f>Data!C372/Data!$C$5</f>
        <v/>
      </c>
      <c r="C372" s="16">
        <f>Data!G372/Data!$G$5</f>
        <v/>
      </c>
      <c r="D372" s="16">
        <f>D371*(1+Data!I372/100)</f>
        <v/>
      </c>
      <c r="E372" s="16" t="n">
        <v>1</v>
      </c>
      <c r="F372" s="16">
        <f>F371*(1+Data!H372/100)^(1/12)</f>
        <v/>
      </c>
      <c r="G372" s="12">
        <f>Calculator!$B$4*Calculator!$B$5/100*B372</f>
        <v/>
      </c>
      <c r="H372" s="12">
        <f>Calculator!$B$4*Calculator!$B$6/100*C372</f>
        <v/>
      </c>
      <c r="I372" s="12">
        <f>Calculator!$B$4*Calculator!$B$7/100*D372</f>
        <v/>
      </c>
      <c r="J372" s="12">
        <f>Calculator!$B$4*Calculator!$B$8/100*E372</f>
        <v/>
      </c>
      <c r="K372" s="12">
        <f>SUM(G372:J372)</f>
        <v/>
      </c>
      <c r="L372" s="12">
        <f>K372/F372</f>
        <v/>
      </c>
      <c r="M372" s="12">
        <f>MAX(M371,K372)</f>
        <v/>
      </c>
      <c r="N372" s="13">
        <f>K372/M372-1</f>
        <v/>
      </c>
      <c r="O372" s="12">
        <f>Calculator!$B$4*B372</f>
        <v/>
      </c>
      <c r="P372" s="12">
        <f>Calculator!$B$4*C372</f>
        <v/>
      </c>
      <c r="Q372" s="12">
        <f>Calculator!$B$4*D372</f>
        <v/>
      </c>
      <c r="R372" s="12">
        <f>Calculator!$B$4*F372</f>
        <v/>
      </c>
    </row>
    <row r="373">
      <c r="A373" s="6">
        <f>Data!A373</f>
        <v/>
      </c>
      <c r="B373" s="16">
        <f>Data!C373/Data!$C$5</f>
        <v/>
      </c>
      <c r="C373" s="16">
        <f>Data!G373/Data!$G$5</f>
        <v/>
      </c>
      <c r="D373" s="16">
        <f>D372*(1+Data!I373/100)</f>
        <v/>
      </c>
      <c r="E373" s="16" t="n">
        <v>1</v>
      </c>
      <c r="F373" s="16">
        <f>F372*(1+Data!H373/100)^(1/12)</f>
        <v/>
      </c>
      <c r="G373" s="12">
        <f>Calculator!$B$4*Calculator!$B$5/100*B373</f>
        <v/>
      </c>
      <c r="H373" s="12">
        <f>Calculator!$B$4*Calculator!$B$6/100*C373</f>
        <v/>
      </c>
      <c r="I373" s="12">
        <f>Calculator!$B$4*Calculator!$B$7/100*D373</f>
        <v/>
      </c>
      <c r="J373" s="12">
        <f>Calculator!$B$4*Calculator!$B$8/100*E373</f>
        <v/>
      </c>
      <c r="K373" s="12">
        <f>SUM(G373:J373)</f>
        <v/>
      </c>
      <c r="L373" s="12">
        <f>K373/F373</f>
        <v/>
      </c>
      <c r="M373" s="12">
        <f>MAX(M372,K373)</f>
        <v/>
      </c>
      <c r="N373" s="13">
        <f>K373/M373-1</f>
        <v/>
      </c>
      <c r="O373" s="12">
        <f>Calculator!$B$4*B373</f>
        <v/>
      </c>
      <c r="P373" s="12">
        <f>Calculator!$B$4*C373</f>
        <v/>
      </c>
      <c r="Q373" s="12">
        <f>Calculator!$B$4*D373</f>
        <v/>
      </c>
      <c r="R373" s="12">
        <f>Calculator!$B$4*F373</f>
        <v/>
      </c>
    </row>
    <row r="374">
      <c r="A374" s="6">
        <f>Data!A374</f>
        <v/>
      </c>
      <c r="B374" s="16">
        <f>Data!C374/Data!$C$5</f>
        <v/>
      </c>
      <c r="C374" s="16">
        <f>Data!G374/Data!$G$5</f>
        <v/>
      </c>
      <c r="D374" s="16">
        <f>D373*(1+Data!I374/100)</f>
        <v/>
      </c>
      <c r="E374" s="16" t="n">
        <v>1</v>
      </c>
      <c r="F374" s="16">
        <f>F373*(1+Data!H374/100)^(1/12)</f>
        <v/>
      </c>
      <c r="G374" s="12">
        <f>Calculator!$B$4*Calculator!$B$5/100*B374</f>
        <v/>
      </c>
      <c r="H374" s="12">
        <f>Calculator!$B$4*Calculator!$B$6/100*C374</f>
        <v/>
      </c>
      <c r="I374" s="12">
        <f>Calculator!$B$4*Calculator!$B$7/100*D374</f>
        <v/>
      </c>
      <c r="J374" s="12">
        <f>Calculator!$B$4*Calculator!$B$8/100*E374</f>
        <v/>
      </c>
      <c r="K374" s="12">
        <f>SUM(G374:J374)</f>
        <v/>
      </c>
      <c r="L374" s="12">
        <f>K374/F374</f>
        <v/>
      </c>
      <c r="M374" s="12">
        <f>MAX(M373,K374)</f>
        <v/>
      </c>
      <c r="N374" s="13">
        <f>K374/M374-1</f>
        <v/>
      </c>
      <c r="O374" s="12">
        <f>Calculator!$B$4*B374</f>
        <v/>
      </c>
      <c r="P374" s="12">
        <f>Calculator!$B$4*C374</f>
        <v/>
      </c>
      <c r="Q374" s="12">
        <f>Calculator!$B$4*D374</f>
        <v/>
      </c>
      <c r="R374" s="12">
        <f>Calculator!$B$4*F374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4" t="inlineStr">
        <is>
          <t>Year by year (first row = what you bought at the Dec 1995 close; then the December value of each year, the last year ends at the last complete month)</t>
        </is>
      </c>
    </row>
    <row r="4">
      <c r="A4" s="15" t="inlineStr">
        <is>
          <t>Year</t>
        </is>
      </c>
      <c r="B4" s="15" t="inlineStr">
        <is>
          <t>Months in year</t>
        </is>
      </c>
      <c r="C4" s="15" t="inlineStr">
        <is>
          <t>Row of year-end month in Monthly</t>
        </is>
      </c>
      <c r="D4" s="15" t="inlineStr">
        <is>
          <t>Nifty Rs</t>
        </is>
      </c>
      <c r="E4" s="15" t="inlineStr">
        <is>
          <t>Gold Rs</t>
        </is>
      </c>
      <c r="F4" s="15" t="inlineStr">
        <is>
          <t>Bonds Rs</t>
        </is>
      </c>
      <c r="G4" s="15" t="inlineStr">
        <is>
          <t>Cash Rs</t>
        </is>
      </c>
      <c r="H4" s="15" t="inlineStr">
        <is>
          <t>Portfolio Rs</t>
        </is>
      </c>
      <c r="I4" s="15" t="inlineStr">
        <is>
          <t>Return that year</t>
        </is>
      </c>
      <c r="J4" s="15" t="inlineStr">
        <is>
          <t>Inflation %</t>
        </is>
      </c>
      <c r="K4" s="15" t="inlineStr">
        <is>
          <t>After inflation Rs</t>
        </is>
      </c>
      <c r="L4" s="15" t="inlineStr">
        <is>
          <t>Avg per year so far</t>
        </is>
      </c>
    </row>
    <row r="5">
      <c r="A5" s="17" t="n">
        <v>1995</v>
      </c>
      <c r="B5" s="5" t="n">
        <v>0</v>
      </c>
      <c r="C5" s="5">
        <f>4+COUNTIF(Data!$B$5:$B$500,"&lt;="&amp;A5)</f>
        <v/>
      </c>
      <c r="D5" s="11">
        <f>INDEX(Monthly!$G$1:$G$500,$C5)</f>
        <v/>
      </c>
      <c r="E5" s="11">
        <f>INDEX(Monthly!$H$1:$H$500,$C5)</f>
        <v/>
      </c>
      <c r="F5" s="11">
        <f>INDEX(Monthly!$I$1:$I$500,$C5)</f>
        <v/>
      </c>
      <c r="G5" s="11">
        <f>INDEX(Monthly!$J$1:$J$500,$C5)</f>
        <v/>
      </c>
      <c r="H5" s="11">
        <f>INDEX(Monthly!$K$1:$K$500,$C5)</f>
        <v/>
      </c>
      <c r="I5" s="5" t="n"/>
      <c r="J5" s="5" t="n"/>
      <c r="K5" s="11">
        <f>INDEX(Monthly!$L$1:$L$500,$C5)</f>
        <v/>
      </c>
      <c r="L5" s="5" t="n"/>
    </row>
    <row r="6">
      <c r="A6" s="18" t="n">
        <v>1996</v>
      </c>
      <c r="B6" s="6">
        <f>C6-C5</f>
        <v/>
      </c>
      <c r="C6" s="6">
        <f>4+COUNTIF(Data!$B$5:$B$500,"&lt;="&amp;A6)</f>
        <v/>
      </c>
      <c r="D6" s="12">
        <f>INDEX(Monthly!$G$1:$G$500,$C6)</f>
        <v/>
      </c>
      <c r="E6" s="12">
        <f>INDEX(Monthly!$H$1:$H$500,$C6)</f>
        <v/>
      </c>
      <c r="F6" s="12">
        <f>INDEX(Monthly!$I$1:$I$500,$C6)</f>
        <v/>
      </c>
      <c r="G6" s="12">
        <f>INDEX(Monthly!$J$1:$J$500,$C6)</f>
        <v/>
      </c>
      <c r="H6" s="12">
        <f>INDEX(Monthly!$K$1:$K$500,$C6)</f>
        <v/>
      </c>
      <c r="I6" s="13">
        <f>H6/H5-1</f>
        <v/>
      </c>
      <c r="J6" s="19">
        <f>INDEX(Data!$H$1:$H$500,$C6)</f>
        <v/>
      </c>
      <c r="K6" s="12">
        <f>INDEX(Monthly!$L$1:$L$500,$C6)</f>
        <v/>
      </c>
      <c r="L6" s="13">
        <f>(H6/Calculator!$B$4)^(12/(C6-$C$5))-1</f>
        <v/>
      </c>
    </row>
    <row r="7">
      <c r="A7" s="18" t="n">
        <v>1997</v>
      </c>
      <c r="B7" s="6">
        <f>C7-C6</f>
        <v/>
      </c>
      <c r="C7" s="6">
        <f>4+COUNTIF(Data!$B$5:$B$500,"&lt;="&amp;A7)</f>
        <v/>
      </c>
      <c r="D7" s="12">
        <f>INDEX(Monthly!$G$1:$G$500,$C7)</f>
        <v/>
      </c>
      <c r="E7" s="12">
        <f>INDEX(Monthly!$H$1:$H$500,$C7)</f>
        <v/>
      </c>
      <c r="F7" s="12">
        <f>INDEX(Monthly!$I$1:$I$500,$C7)</f>
        <v/>
      </c>
      <c r="G7" s="12">
        <f>INDEX(Monthly!$J$1:$J$500,$C7)</f>
        <v/>
      </c>
      <c r="H7" s="12">
        <f>INDEX(Monthly!$K$1:$K$500,$C7)</f>
        <v/>
      </c>
      <c r="I7" s="13">
        <f>H7/H6-1</f>
        <v/>
      </c>
      <c r="J7" s="19">
        <f>INDEX(Data!$H$1:$H$500,$C7)</f>
        <v/>
      </c>
      <c r="K7" s="12">
        <f>INDEX(Monthly!$L$1:$L$500,$C7)</f>
        <v/>
      </c>
      <c r="L7" s="13">
        <f>(H7/Calculator!$B$4)^(12/(C7-$C$5))-1</f>
        <v/>
      </c>
    </row>
    <row r="8">
      <c r="A8" s="18" t="n">
        <v>1998</v>
      </c>
      <c r="B8" s="6">
        <f>C8-C7</f>
        <v/>
      </c>
      <c r="C8" s="6">
        <f>4+COUNTIF(Data!$B$5:$B$500,"&lt;="&amp;A8)</f>
        <v/>
      </c>
      <c r="D8" s="12">
        <f>INDEX(Monthly!$G$1:$G$500,$C8)</f>
        <v/>
      </c>
      <c r="E8" s="12">
        <f>INDEX(Monthly!$H$1:$H$500,$C8)</f>
        <v/>
      </c>
      <c r="F8" s="12">
        <f>INDEX(Monthly!$I$1:$I$500,$C8)</f>
        <v/>
      </c>
      <c r="G8" s="12">
        <f>INDEX(Monthly!$J$1:$J$500,$C8)</f>
        <v/>
      </c>
      <c r="H8" s="12">
        <f>INDEX(Monthly!$K$1:$K$500,$C8)</f>
        <v/>
      </c>
      <c r="I8" s="13">
        <f>H8/H7-1</f>
        <v/>
      </c>
      <c r="J8" s="19">
        <f>INDEX(Data!$H$1:$H$500,$C8)</f>
        <v/>
      </c>
      <c r="K8" s="12">
        <f>INDEX(Monthly!$L$1:$L$500,$C8)</f>
        <v/>
      </c>
      <c r="L8" s="13">
        <f>(H8/Calculator!$B$4)^(12/(C8-$C$5))-1</f>
        <v/>
      </c>
    </row>
    <row r="9">
      <c r="A9" s="18" t="n">
        <v>1999</v>
      </c>
      <c r="B9" s="6">
        <f>C9-C8</f>
        <v/>
      </c>
      <c r="C9" s="6">
        <f>4+COUNTIF(Data!$B$5:$B$500,"&lt;="&amp;A9)</f>
        <v/>
      </c>
      <c r="D9" s="12">
        <f>INDEX(Monthly!$G$1:$G$500,$C9)</f>
        <v/>
      </c>
      <c r="E9" s="12">
        <f>INDEX(Monthly!$H$1:$H$500,$C9)</f>
        <v/>
      </c>
      <c r="F9" s="12">
        <f>INDEX(Monthly!$I$1:$I$500,$C9)</f>
        <v/>
      </c>
      <c r="G9" s="12">
        <f>INDEX(Monthly!$J$1:$J$500,$C9)</f>
        <v/>
      </c>
      <c r="H9" s="12">
        <f>INDEX(Monthly!$K$1:$K$500,$C9)</f>
        <v/>
      </c>
      <c r="I9" s="13">
        <f>H9/H8-1</f>
        <v/>
      </c>
      <c r="J9" s="19">
        <f>INDEX(Data!$H$1:$H$500,$C9)</f>
        <v/>
      </c>
      <c r="K9" s="12">
        <f>INDEX(Monthly!$L$1:$L$500,$C9)</f>
        <v/>
      </c>
      <c r="L9" s="13">
        <f>(H9/Calculator!$B$4)^(12/(C9-$C$5))-1</f>
        <v/>
      </c>
    </row>
    <row r="10">
      <c r="A10" s="18" t="n">
        <v>2000</v>
      </c>
      <c r="B10" s="6">
        <f>C10-C9</f>
        <v/>
      </c>
      <c r="C10" s="6">
        <f>4+COUNTIF(Data!$B$5:$B$500,"&lt;="&amp;A10)</f>
        <v/>
      </c>
      <c r="D10" s="12">
        <f>INDEX(Monthly!$G$1:$G$500,$C10)</f>
        <v/>
      </c>
      <c r="E10" s="12">
        <f>INDEX(Monthly!$H$1:$H$500,$C10)</f>
        <v/>
      </c>
      <c r="F10" s="12">
        <f>INDEX(Monthly!$I$1:$I$500,$C10)</f>
        <v/>
      </c>
      <c r="G10" s="12">
        <f>INDEX(Monthly!$J$1:$J$500,$C10)</f>
        <v/>
      </c>
      <c r="H10" s="12">
        <f>INDEX(Monthly!$K$1:$K$500,$C10)</f>
        <v/>
      </c>
      <c r="I10" s="13">
        <f>H10/H9-1</f>
        <v/>
      </c>
      <c r="J10" s="19">
        <f>INDEX(Data!$H$1:$H$500,$C10)</f>
        <v/>
      </c>
      <c r="K10" s="12">
        <f>INDEX(Monthly!$L$1:$L$500,$C10)</f>
        <v/>
      </c>
      <c r="L10" s="13">
        <f>(H10/Calculator!$B$4)^(12/(C10-$C$5))-1</f>
        <v/>
      </c>
    </row>
    <row r="11">
      <c r="A11" s="18" t="n">
        <v>2001</v>
      </c>
      <c r="B11" s="6">
        <f>C11-C10</f>
        <v/>
      </c>
      <c r="C11" s="6">
        <f>4+COUNTIF(Data!$B$5:$B$500,"&lt;="&amp;A11)</f>
        <v/>
      </c>
      <c r="D11" s="12">
        <f>INDEX(Monthly!$G$1:$G$500,$C11)</f>
        <v/>
      </c>
      <c r="E11" s="12">
        <f>INDEX(Monthly!$H$1:$H$500,$C11)</f>
        <v/>
      </c>
      <c r="F11" s="12">
        <f>INDEX(Monthly!$I$1:$I$500,$C11)</f>
        <v/>
      </c>
      <c r="G11" s="12">
        <f>INDEX(Monthly!$J$1:$J$500,$C11)</f>
        <v/>
      </c>
      <c r="H11" s="12">
        <f>INDEX(Monthly!$K$1:$K$500,$C11)</f>
        <v/>
      </c>
      <c r="I11" s="13">
        <f>H11/H10-1</f>
        <v/>
      </c>
      <c r="J11" s="19">
        <f>INDEX(Data!$H$1:$H$500,$C11)</f>
        <v/>
      </c>
      <c r="K11" s="12">
        <f>INDEX(Monthly!$L$1:$L$500,$C11)</f>
        <v/>
      </c>
      <c r="L11" s="13">
        <f>(H11/Calculator!$B$4)^(12/(C11-$C$5))-1</f>
        <v/>
      </c>
    </row>
    <row r="12">
      <c r="A12" s="18" t="n">
        <v>2002</v>
      </c>
      <c r="B12" s="6">
        <f>C12-C11</f>
        <v/>
      </c>
      <c r="C12" s="6">
        <f>4+COUNTIF(Data!$B$5:$B$500,"&lt;="&amp;A12)</f>
        <v/>
      </c>
      <c r="D12" s="12">
        <f>INDEX(Monthly!$G$1:$G$500,$C12)</f>
        <v/>
      </c>
      <c r="E12" s="12">
        <f>INDEX(Monthly!$H$1:$H$500,$C12)</f>
        <v/>
      </c>
      <c r="F12" s="12">
        <f>INDEX(Monthly!$I$1:$I$500,$C12)</f>
        <v/>
      </c>
      <c r="G12" s="12">
        <f>INDEX(Monthly!$J$1:$J$500,$C12)</f>
        <v/>
      </c>
      <c r="H12" s="12">
        <f>INDEX(Monthly!$K$1:$K$500,$C12)</f>
        <v/>
      </c>
      <c r="I12" s="13">
        <f>H12/H11-1</f>
        <v/>
      </c>
      <c r="J12" s="19">
        <f>INDEX(Data!$H$1:$H$500,$C12)</f>
        <v/>
      </c>
      <c r="K12" s="12">
        <f>INDEX(Monthly!$L$1:$L$500,$C12)</f>
        <v/>
      </c>
      <c r="L12" s="13">
        <f>(H12/Calculator!$B$4)^(12/(C12-$C$5))-1</f>
        <v/>
      </c>
    </row>
    <row r="13">
      <c r="A13" s="18" t="n">
        <v>2003</v>
      </c>
      <c r="B13" s="6">
        <f>C13-C12</f>
        <v/>
      </c>
      <c r="C13" s="6">
        <f>4+COUNTIF(Data!$B$5:$B$500,"&lt;="&amp;A13)</f>
        <v/>
      </c>
      <c r="D13" s="12">
        <f>INDEX(Monthly!$G$1:$G$500,$C13)</f>
        <v/>
      </c>
      <c r="E13" s="12">
        <f>INDEX(Monthly!$H$1:$H$500,$C13)</f>
        <v/>
      </c>
      <c r="F13" s="12">
        <f>INDEX(Monthly!$I$1:$I$500,$C13)</f>
        <v/>
      </c>
      <c r="G13" s="12">
        <f>INDEX(Monthly!$J$1:$J$500,$C13)</f>
        <v/>
      </c>
      <c r="H13" s="12">
        <f>INDEX(Monthly!$K$1:$K$500,$C13)</f>
        <v/>
      </c>
      <c r="I13" s="13">
        <f>H13/H12-1</f>
        <v/>
      </c>
      <c r="J13" s="19">
        <f>INDEX(Data!$H$1:$H$500,$C13)</f>
        <v/>
      </c>
      <c r="K13" s="12">
        <f>INDEX(Monthly!$L$1:$L$500,$C13)</f>
        <v/>
      </c>
      <c r="L13" s="13">
        <f>(H13/Calculator!$B$4)^(12/(C13-$C$5))-1</f>
        <v/>
      </c>
    </row>
    <row r="14">
      <c r="A14" s="18" t="n">
        <v>2004</v>
      </c>
      <c r="B14" s="6">
        <f>C14-C13</f>
        <v/>
      </c>
      <c r="C14" s="6">
        <f>4+COUNTIF(Data!$B$5:$B$500,"&lt;="&amp;A14)</f>
        <v/>
      </c>
      <c r="D14" s="12">
        <f>INDEX(Monthly!$G$1:$G$500,$C14)</f>
        <v/>
      </c>
      <c r="E14" s="12">
        <f>INDEX(Monthly!$H$1:$H$500,$C14)</f>
        <v/>
      </c>
      <c r="F14" s="12">
        <f>INDEX(Monthly!$I$1:$I$500,$C14)</f>
        <v/>
      </c>
      <c r="G14" s="12">
        <f>INDEX(Monthly!$J$1:$J$500,$C14)</f>
        <v/>
      </c>
      <c r="H14" s="12">
        <f>INDEX(Monthly!$K$1:$K$500,$C14)</f>
        <v/>
      </c>
      <c r="I14" s="13">
        <f>H14/H13-1</f>
        <v/>
      </c>
      <c r="J14" s="19">
        <f>INDEX(Data!$H$1:$H$500,$C14)</f>
        <v/>
      </c>
      <c r="K14" s="12">
        <f>INDEX(Monthly!$L$1:$L$500,$C14)</f>
        <v/>
      </c>
      <c r="L14" s="13">
        <f>(H14/Calculator!$B$4)^(12/(C14-$C$5))-1</f>
        <v/>
      </c>
    </row>
    <row r="15">
      <c r="A15" s="18" t="n">
        <v>2005</v>
      </c>
      <c r="B15" s="6">
        <f>C15-C14</f>
        <v/>
      </c>
      <c r="C15" s="6">
        <f>4+COUNTIF(Data!$B$5:$B$500,"&lt;="&amp;A15)</f>
        <v/>
      </c>
      <c r="D15" s="12">
        <f>INDEX(Monthly!$G$1:$G$500,$C15)</f>
        <v/>
      </c>
      <c r="E15" s="12">
        <f>INDEX(Monthly!$H$1:$H$500,$C15)</f>
        <v/>
      </c>
      <c r="F15" s="12">
        <f>INDEX(Monthly!$I$1:$I$500,$C15)</f>
        <v/>
      </c>
      <c r="G15" s="12">
        <f>INDEX(Monthly!$J$1:$J$500,$C15)</f>
        <v/>
      </c>
      <c r="H15" s="12">
        <f>INDEX(Monthly!$K$1:$K$500,$C15)</f>
        <v/>
      </c>
      <c r="I15" s="13">
        <f>H15/H14-1</f>
        <v/>
      </c>
      <c r="J15" s="19">
        <f>INDEX(Data!$H$1:$H$500,$C15)</f>
        <v/>
      </c>
      <c r="K15" s="12">
        <f>INDEX(Monthly!$L$1:$L$500,$C15)</f>
        <v/>
      </c>
      <c r="L15" s="13">
        <f>(H15/Calculator!$B$4)^(12/(C15-$C$5))-1</f>
        <v/>
      </c>
    </row>
    <row r="16">
      <c r="A16" s="18" t="n">
        <v>2006</v>
      </c>
      <c r="B16" s="6">
        <f>C16-C15</f>
        <v/>
      </c>
      <c r="C16" s="6">
        <f>4+COUNTIF(Data!$B$5:$B$500,"&lt;="&amp;A16)</f>
        <v/>
      </c>
      <c r="D16" s="12">
        <f>INDEX(Monthly!$G$1:$G$500,$C16)</f>
        <v/>
      </c>
      <c r="E16" s="12">
        <f>INDEX(Monthly!$H$1:$H$500,$C16)</f>
        <v/>
      </c>
      <c r="F16" s="12">
        <f>INDEX(Monthly!$I$1:$I$500,$C16)</f>
        <v/>
      </c>
      <c r="G16" s="12">
        <f>INDEX(Monthly!$J$1:$J$500,$C16)</f>
        <v/>
      </c>
      <c r="H16" s="12">
        <f>INDEX(Monthly!$K$1:$K$500,$C16)</f>
        <v/>
      </c>
      <c r="I16" s="13">
        <f>H16/H15-1</f>
        <v/>
      </c>
      <c r="J16" s="19">
        <f>INDEX(Data!$H$1:$H$500,$C16)</f>
        <v/>
      </c>
      <c r="K16" s="12">
        <f>INDEX(Monthly!$L$1:$L$500,$C16)</f>
        <v/>
      </c>
      <c r="L16" s="13">
        <f>(H16/Calculator!$B$4)^(12/(C16-$C$5))-1</f>
        <v/>
      </c>
    </row>
    <row r="17">
      <c r="A17" s="18" t="n">
        <v>2007</v>
      </c>
      <c r="B17" s="6">
        <f>C17-C16</f>
        <v/>
      </c>
      <c r="C17" s="6">
        <f>4+COUNTIF(Data!$B$5:$B$500,"&lt;="&amp;A17)</f>
        <v/>
      </c>
      <c r="D17" s="12">
        <f>INDEX(Monthly!$G$1:$G$500,$C17)</f>
        <v/>
      </c>
      <c r="E17" s="12">
        <f>INDEX(Monthly!$H$1:$H$500,$C17)</f>
        <v/>
      </c>
      <c r="F17" s="12">
        <f>INDEX(Monthly!$I$1:$I$500,$C17)</f>
        <v/>
      </c>
      <c r="G17" s="12">
        <f>INDEX(Monthly!$J$1:$J$500,$C17)</f>
        <v/>
      </c>
      <c r="H17" s="12">
        <f>INDEX(Monthly!$K$1:$K$500,$C17)</f>
        <v/>
      </c>
      <c r="I17" s="13">
        <f>H17/H16-1</f>
        <v/>
      </c>
      <c r="J17" s="19">
        <f>INDEX(Data!$H$1:$H$500,$C17)</f>
        <v/>
      </c>
      <c r="K17" s="12">
        <f>INDEX(Monthly!$L$1:$L$500,$C17)</f>
        <v/>
      </c>
      <c r="L17" s="13">
        <f>(H17/Calculator!$B$4)^(12/(C17-$C$5))-1</f>
        <v/>
      </c>
    </row>
    <row r="18">
      <c r="A18" s="18" t="n">
        <v>2008</v>
      </c>
      <c r="B18" s="6">
        <f>C18-C17</f>
        <v/>
      </c>
      <c r="C18" s="6">
        <f>4+COUNTIF(Data!$B$5:$B$500,"&lt;="&amp;A18)</f>
        <v/>
      </c>
      <c r="D18" s="12">
        <f>INDEX(Monthly!$G$1:$G$500,$C18)</f>
        <v/>
      </c>
      <c r="E18" s="12">
        <f>INDEX(Monthly!$H$1:$H$500,$C18)</f>
        <v/>
      </c>
      <c r="F18" s="12">
        <f>INDEX(Monthly!$I$1:$I$500,$C18)</f>
        <v/>
      </c>
      <c r="G18" s="12">
        <f>INDEX(Monthly!$J$1:$J$500,$C18)</f>
        <v/>
      </c>
      <c r="H18" s="12">
        <f>INDEX(Monthly!$K$1:$K$500,$C18)</f>
        <v/>
      </c>
      <c r="I18" s="13">
        <f>H18/H17-1</f>
        <v/>
      </c>
      <c r="J18" s="19">
        <f>INDEX(Data!$H$1:$H$500,$C18)</f>
        <v/>
      </c>
      <c r="K18" s="12">
        <f>INDEX(Monthly!$L$1:$L$500,$C18)</f>
        <v/>
      </c>
      <c r="L18" s="13">
        <f>(H18/Calculator!$B$4)^(12/(C18-$C$5))-1</f>
        <v/>
      </c>
    </row>
    <row r="19">
      <c r="A19" s="18" t="n">
        <v>2009</v>
      </c>
      <c r="B19" s="6">
        <f>C19-C18</f>
        <v/>
      </c>
      <c r="C19" s="6">
        <f>4+COUNTIF(Data!$B$5:$B$500,"&lt;="&amp;A19)</f>
        <v/>
      </c>
      <c r="D19" s="12">
        <f>INDEX(Monthly!$G$1:$G$500,$C19)</f>
        <v/>
      </c>
      <c r="E19" s="12">
        <f>INDEX(Monthly!$H$1:$H$500,$C19)</f>
        <v/>
      </c>
      <c r="F19" s="12">
        <f>INDEX(Monthly!$I$1:$I$500,$C19)</f>
        <v/>
      </c>
      <c r="G19" s="12">
        <f>INDEX(Monthly!$J$1:$J$500,$C19)</f>
        <v/>
      </c>
      <c r="H19" s="12">
        <f>INDEX(Monthly!$K$1:$K$500,$C19)</f>
        <v/>
      </c>
      <c r="I19" s="13">
        <f>H19/H18-1</f>
        <v/>
      </c>
      <c r="J19" s="19">
        <f>INDEX(Data!$H$1:$H$500,$C19)</f>
        <v/>
      </c>
      <c r="K19" s="12">
        <f>INDEX(Monthly!$L$1:$L$500,$C19)</f>
        <v/>
      </c>
      <c r="L19" s="13">
        <f>(H19/Calculator!$B$4)^(12/(C19-$C$5))-1</f>
        <v/>
      </c>
    </row>
    <row r="20">
      <c r="A20" s="18" t="n">
        <v>2010</v>
      </c>
      <c r="B20" s="6">
        <f>C20-C19</f>
        <v/>
      </c>
      <c r="C20" s="6">
        <f>4+COUNTIF(Data!$B$5:$B$500,"&lt;="&amp;A20)</f>
        <v/>
      </c>
      <c r="D20" s="12">
        <f>INDEX(Monthly!$G$1:$G$500,$C20)</f>
        <v/>
      </c>
      <c r="E20" s="12">
        <f>INDEX(Monthly!$H$1:$H$500,$C20)</f>
        <v/>
      </c>
      <c r="F20" s="12">
        <f>INDEX(Monthly!$I$1:$I$500,$C20)</f>
        <v/>
      </c>
      <c r="G20" s="12">
        <f>INDEX(Monthly!$J$1:$J$500,$C20)</f>
        <v/>
      </c>
      <c r="H20" s="12">
        <f>INDEX(Monthly!$K$1:$K$500,$C20)</f>
        <v/>
      </c>
      <c r="I20" s="13">
        <f>H20/H19-1</f>
        <v/>
      </c>
      <c r="J20" s="19">
        <f>INDEX(Data!$H$1:$H$500,$C20)</f>
        <v/>
      </c>
      <c r="K20" s="12">
        <f>INDEX(Monthly!$L$1:$L$500,$C20)</f>
        <v/>
      </c>
      <c r="L20" s="13">
        <f>(H20/Calculator!$B$4)^(12/(C20-$C$5))-1</f>
        <v/>
      </c>
    </row>
    <row r="21">
      <c r="A21" s="18" t="n">
        <v>2011</v>
      </c>
      <c r="B21" s="6">
        <f>C21-C20</f>
        <v/>
      </c>
      <c r="C21" s="6">
        <f>4+COUNTIF(Data!$B$5:$B$500,"&lt;="&amp;A21)</f>
        <v/>
      </c>
      <c r="D21" s="12">
        <f>INDEX(Monthly!$G$1:$G$500,$C21)</f>
        <v/>
      </c>
      <c r="E21" s="12">
        <f>INDEX(Monthly!$H$1:$H$500,$C21)</f>
        <v/>
      </c>
      <c r="F21" s="12">
        <f>INDEX(Monthly!$I$1:$I$500,$C21)</f>
        <v/>
      </c>
      <c r="G21" s="12">
        <f>INDEX(Monthly!$J$1:$J$500,$C21)</f>
        <v/>
      </c>
      <c r="H21" s="12">
        <f>INDEX(Monthly!$K$1:$K$500,$C21)</f>
        <v/>
      </c>
      <c r="I21" s="13">
        <f>H21/H20-1</f>
        <v/>
      </c>
      <c r="J21" s="19">
        <f>INDEX(Data!$H$1:$H$500,$C21)</f>
        <v/>
      </c>
      <c r="K21" s="12">
        <f>INDEX(Monthly!$L$1:$L$500,$C21)</f>
        <v/>
      </c>
      <c r="L21" s="13">
        <f>(H21/Calculator!$B$4)^(12/(C21-$C$5))-1</f>
        <v/>
      </c>
    </row>
    <row r="22">
      <c r="A22" s="18" t="n">
        <v>2012</v>
      </c>
      <c r="B22" s="6">
        <f>C22-C21</f>
        <v/>
      </c>
      <c r="C22" s="6">
        <f>4+COUNTIF(Data!$B$5:$B$500,"&lt;="&amp;A22)</f>
        <v/>
      </c>
      <c r="D22" s="12">
        <f>INDEX(Monthly!$G$1:$G$500,$C22)</f>
        <v/>
      </c>
      <c r="E22" s="12">
        <f>INDEX(Monthly!$H$1:$H$500,$C22)</f>
        <v/>
      </c>
      <c r="F22" s="12">
        <f>INDEX(Monthly!$I$1:$I$500,$C22)</f>
        <v/>
      </c>
      <c r="G22" s="12">
        <f>INDEX(Monthly!$J$1:$J$500,$C22)</f>
        <v/>
      </c>
      <c r="H22" s="12">
        <f>INDEX(Monthly!$K$1:$K$500,$C22)</f>
        <v/>
      </c>
      <c r="I22" s="13">
        <f>H22/H21-1</f>
        <v/>
      </c>
      <c r="J22" s="19">
        <f>INDEX(Data!$H$1:$H$500,$C22)</f>
        <v/>
      </c>
      <c r="K22" s="12">
        <f>INDEX(Monthly!$L$1:$L$500,$C22)</f>
        <v/>
      </c>
      <c r="L22" s="13">
        <f>(H22/Calculator!$B$4)^(12/(C22-$C$5))-1</f>
        <v/>
      </c>
    </row>
    <row r="23">
      <c r="A23" s="18" t="n">
        <v>2013</v>
      </c>
      <c r="B23" s="6">
        <f>C23-C22</f>
        <v/>
      </c>
      <c r="C23" s="6">
        <f>4+COUNTIF(Data!$B$5:$B$500,"&lt;="&amp;A23)</f>
        <v/>
      </c>
      <c r="D23" s="12">
        <f>INDEX(Monthly!$G$1:$G$500,$C23)</f>
        <v/>
      </c>
      <c r="E23" s="12">
        <f>INDEX(Monthly!$H$1:$H$500,$C23)</f>
        <v/>
      </c>
      <c r="F23" s="12">
        <f>INDEX(Monthly!$I$1:$I$500,$C23)</f>
        <v/>
      </c>
      <c r="G23" s="12">
        <f>INDEX(Monthly!$J$1:$J$500,$C23)</f>
        <v/>
      </c>
      <c r="H23" s="12">
        <f>INDEX(Monthly!$K$1:$K$500,$C23)</f>
        <v/>
      </c>
      <c r="I23" s="13">
        <f>H23/H22-1</f>
        <v/>
      </c>
      <c r="J23" s="19">
        <f>INDEX(Data!$H$1:$H$500,$C23)</f>
        <v/>
      </c>
      <c r="K23" s="12">
        <f>INDEX(Monthly!$L$1:$L$500,$C23)</f>
        <v/>
      </c>
      <c r="L23" s="13">
        <f>(H23/Calculator!$B$4)^(12/(C23-$C$5))-1</f>
        <v/>
      </c>
    </row>
    <row r="24">
      <c r="A24" s="18" t="n">
        <v>2014</v>
      </c>
      <c r="B24" s="6">
        <f>C24-C23</f>
        <v/>
      </c>
      <c r="C24" s="6">
        <f>4+COUNTIF(Data!$B$5:$B$500,"&lt;="&amp;A24)</f>
        <v/>
      </c>
      <c r="D24" s="12">
        <f>INDEX(Monthly!$G$1:$G$500,$C24)</f>
        <v/>
      </c>
      <c r="E24" s="12">
        <f>INDEX(Monthly!$H$1:$H$500,$C24)</f>
        <v/>
      </c>
      <c r="F24" s="12">
        <f>INDEX(Monthly!$I$1:$I$500,$C24)</f>
        <v/>
      </c>
      <c r="G24" s="12">
        <f>INDEX(Monthly!$J$1:$J$500,$C24)</f>
        <v/>
      </c>
      <c r="H24" s="12">
        <f>INDEX(Monthly!$K$1:$K$500,$C24)</f>
        <v/>
      </c>
      <c r="I24" s="13">
        <f>H24/H23-1</f>
        <v/>
      </c>
      <c r="J24" s="19">
        <f>INDEX(Data!$H$1:$H$500,$C24)</f>
        <v/>
      </c>
      <c r="K24" s="12">
        <f>INDEX(Monthly!$L$1:$L$500,$C24)</f>
        <v/>
      </c>
      <c r="L24" s="13">
        <f>(H24/Calculator!$B$4)^(12/(C24-$C$5))-1</f>
        <v/>
      </c>
    </row>
    <row r="25">
      <c r="A25" s="18" t="n">
        <v>2015</v>
      </c>
      <c r="B25" s="6">
        <f>C25-C24</f>
        <v/>
      </c>
      <c r="C25" s="6">
        <f>4+COUNTIF(Data!$B$5:$B$500,"&lt;="&amp;A25)</f>
        <v/>
      </c>
      <c r="D25" s="12">
        <f>INDEX(Monthly!$G$1:$G$500,$C25)</f>
        <v/>
      </c>
      <c r="E25" s="12">
        <f>INDEX(Monthly!$H$1:$H$500,$C25)</f>
        <v/>
      </c>
      <c r="F25" s="12">
        <f>INDEX(Monthly!$I$1:$I$500,$C25)</f>
        <v/>
      </c>
      <c r="G25" s="12">
        <f>INDEX(Monthly!$J$1:$J$500,$C25)</f>
        <v/>
      </c>
      <c r="H25" s="12">
        <f>INDEX(Monthly!$K$1:$K$500,$C25)</f>
        <v/>
      </c>
      <c r="I25" s="13">
        <f>H25/H24-1</f>
        <v/>
      </c>
      <c r="J25" s="19">
        <f>INDEX(Data!$H$1:$H$500,$C25)</f>
        <v/>
      </c>
      <c r="K25" s="12">
        <f>INDEX(Monthly!$L$1:$L$500,$C25)</f>
        <v/>
      </c>
      <c r="L25" s="13">
        <f>(H25/Calculator!$B$4)^(12/(C25-$C$5))-1</f>
        <v/>
      </c>
    </row>
    <row r="26">
      <c r="A26" s="18" t="n">
        <v>2016</v>
      </c>
      <c r="B26" s="6">
        <f>C26-C25</f>
        <v/>
      </c>
      <c r="C26" s="6">
        <f>4+COUNTIF(Data!$B$5:$B$500,"&lt;="&amp;A26)</f>
        <v/>
      </c>
      <c r="D26" s="12">
        <f>INDEX(Monthly!$G$1:$G$500,$C26)</f>
        <v/>
      </c>
      <c r="E26" s="12">
        <f>INDEX(Monthly!$H$1:$H$500,$C26)</f>
        <v/>
      </c>
      <c r="F26" s="12">
        <f>INDEX(Monthly!$I$1:$I$500,$C26)</f>
        <v/>
      </c>
      <c r="G26" s="12">
        <f>INDEX(Monthly!$J$1:$J$500,$C26)</f>
        <v/>
      </c>
      <c r="H26" s="12">
        <f>INDEX(Monthly!$K$1:$K$500,$C26)</f>
        <v/>
      </c>
      <c r="I26" s="13">
        <f>H26/H25-1</f>
        <v/>
      </c>
      <c r="J26" s="19">
        <f>INDEX(Data!$H$1:$H$500,$C26)</f>
        <v/>
      </c>
      <c r="K26" s="12">
        <f>INDEX(Monthly!$L$1:$L$500,$C26)</f>
        <v/>
      </c>
      <c r="L26" s="13">
        <f>(H26/Calculator!$B$4)^(12/(C26-$C$5))-1</f>
        <v/>
      </c>
    </row>
    <row r="27">
      <c r="A27" s="18" t="n">
        <v>2017</v>
      </c>
      <c r="B27" s="6">
        <f>C27-C26</f>
        <v/>
      </c>
      <c r="C27" s="6">
        <f>4+COUNTIF(Data!$B$5:$B$500,"&lt;="&amp;A27)</f>
        <v/>
      </c>
      <c r="D27" s="12">
        <f>INDEX(Monthly!$G$1:$G$500,$C27)</f>
        <v/>
      </c>
      <c r="E27" s="12">
        <f>INDEX(Monthly!$H$1:$H$500,$C27)</f>
        <v/>
      </c>
      <c r="F27" s="12">
        <f>INDEX(Monthly!$I$1:$I$500,$C27)</f>
        <v/>
      </c>
      <c r="G27" s="12">
        <f>INDEX(Monthly!$J$1:$J$500,$C27)</f>
        <v/>
      </c>
      <c r="H27" s="12">
        <f>INDEX(Monthly!$K$1:$K$500,$C27)</f>
        <v/>
      </c>
      <c r="I27" s="13">
        <f>H27/H26-1</f>
        <v/>
      </c>
      <c r="J27" s="19">
        <f>INDEX(Data!$H$1:$H$500,$C27)</f>
        <v/>
      </c>
      <c r="K27" s="12">
        <f>INDEX(Monthly!$L$1:$L$500,$C27)</f>
        <v/>
      </c>
      <c r="L27" s="13">
        <f>(H27/Calculator!$B$4)^(12/(C27-$C$5))-1</f>
        <v/>
      </c>
    </row>
    <row r="28">
      <c r="A28" s="18" t="n">
        <v>2018</v>
      </c>
      <c r="B28" s="6">
        <f>C28-C27</f>
        <v/>
      </c>
      <c r="C28" s="6">
        <f>4+COUNTIF(Data!$B$5:$B$500,"&lt;="&amp;A28)</f>
        <v/>
      </c>
      <c r="D28" s="12">
        <f>INDEX(Monthly!$G$1:$G$500,$C28)</f>
        <v/>
      </c>
      <c r="E28" s="12">
        <f>INDEX(Monthly!$H$1:$H$500,$C28)</f>
        <v/>
      </c>
      <c r="F28" s="12">
        <f>INDEX(Monthly!$I$1:$I$500,$C28)</f>
        <v/>
      </c>
      <c r="G28" s="12">
        <f>INDEX(Monthly!$J$1:$J$500,$C28)</f>
        <v/>
      </c>
      <c r="H28" s="12">
        <f>INDEX(Monthly!$K$1:$K$500,$C28)</f>
        <v/>
      </c>
      <c r="I28" s="13">
        <f>H28/H27-1</f>
        <v/>
      </c>
      <c r="J28" s="19">
        <f>INDEX(Data!$H$1:$H$500,$C28)</f>
        <v/>
      </c>
      <c r="K28" s="12">
        <f>INDEX(Monthly!$L$1:$L$500,$C28)</f>
        <v/>
      </c>
      <c r="L28" s="13">
        <f>(H28/Calculator!$B$4)^(12/(C28-$C$5))-1</f>
        <v/>
      </c>
    </row>
    <row r="29">
      <c r="A29" s="18" t="n">
        <v>2019</v>
      </c>
      <c r="B29" s="6">
        <f>C29-C28</f>
        <v/>
      </c>
      <c r="C29" s="6">
        <f>4+COUNTIF(Data!$B$5:$B$500,"&lt;="&amp;A29)</f>
        <v/>
      </c>
      <c r="D29" s="12">
        <f>INDEX(Monthly!$G$1:$G$500,$C29)</f>
        <v/>
      </c>
      <c r="E29" s="12">
        <f>INDEX(Monthly!$H$1:$H$500,$C29)</f>
        <v/>
      </c>
      <c r="F29" s="12">
        <f>INDEX(Monthly!$I$1:$I$500,$C29)</f>
        <v/>
      </c>
      <c r="G29" s="12">
        <f>INDEX(Monthly!$J$1:$J$500,$C29)</f>
        <v/>
      </c>
      <c r="H29" s="12">
        <f>INDEX(Monthly!$K$1:$K$500,$C29)</f>
        <v/>
      </c>
      <c r="I29" s="13">
        <f>H29/H28-1</f>
        <v/>
      </c>
      <c r="J29" s="19">
        <f>INDEX(Data!$H$1:$H$500,$C29)</f>
        <v/>
      </c>
      <c r="K29" s="12">
        <f>INDEX(Monthly!$L$1:$L$500,$C29)</f>
        <v/>
      </c>
      <c r="L29" s="13">
        <f>(H29/Calculator!$B$4)^(12/(C29-$C$5))-1</f>
        <v/>
      </c>
    </row>
    <row r="30">
      <c r="A30" s="18" t="n">
        <v>2020</v>
      </c>
      <c r="B30" s="6">
        <f>C30-C29</f>
        <v/>
      </c>
      <c r="C30" s="6">
        <f>4+COUNTIF(Data!$B$5:$B$500,"&lt;="&amp;A30)</f>
        <v/>
      </c>
      <c r="D30" s="12">
        <f>INDEX(Monthly!$G$1:$G$500,$C30)</f>
        <v/>
      </c>
      <c r="E30" s="12">
        <f>INDEX(Monthly!$H$1:$H$500,$C30)</f>
        <v/>
      </c>
      <c r="F30" s="12">
        <f>INDEX(Monthly!$I$1:$I$500,$C30)</f>
        <v/>
      </c>
      <c r="G30" s="12">
        <f>INDEX(Monthly!$J$1:$J$500,$C30)</f>
        <v/>
      </c>
      <c r="H30" s="12">
        <f>INDEX(Monthly!$K$1:$K$500,$C30)</f>
        <v/>
      </c>
      <c r="I30" s="13">
        <f>H30/H29-1</f>
        <v/>
      </c>
      <c r="J30" s="19">
        <f>INDEX(Data!$H$1:$H$500,$C30)</f>
        <v/>
      </c>
      <c r="K30" s="12">
        <f>INDEX(Monthly!$L$1:$L$500,$C30)</f>
        <v/>
      </c>
      <c r="L30" s="13">
        <f>(H30/Calculator!$B$4)^(12/(C30-$C$5))-1</f>
        <v/>
      </c>
    </row>
    <row r="31">
      <c r="A31" s="18" t="n">
        <v>2021</v>
      </c>
      <c r="B31" s="6">
        <f>C31-C30</f>
        <v/>
      </c>
      <c r="C31" s="6">
        <f>4+COUNTIF(Data!$B$5:$B$500,"&lt;="&amp;A31)</f>
        <v/>
      </c>
      <c r="D31" s="12">
        <f>INDEX(Monthly!$G$1:$G$500,$C31)</f>
        <v/>
      </c>
      <c r="E31" s="12">
        <f>INDEX(Monthly!$H$1:$H$500,$C31)</f>
        <v/>
      </c>
      <c r="F31" s="12">
        <f>INDEX(Monthly!$I$1:$I$500,$C31)</f>
        <v/>
      </c>
      <c r="G31" s="12">
        <f>INDEX(Monthly!$J$1:$J$500,$C31)</f>
        <v/>
      </c>
      <c r="H31" s="12">
        <f>INDEX(Monthly!$K$1:$K$500,$C31)</f>
        <v/>
      </c>
      <c r="I31" s="13">
        <f>H31/H30-1</f>
        <v/>
      </c>
      <c r="J31" s="19">
        <f>INDEX(Data!$H$1:$H$500,$C31)</f>
        <v/>
      </c>
      <c r="K31" s="12">
        <f>INDEX(Monthly!$L$1:$L$500,$C31)</f>
        <v/>
      </c>
      <c r="L31" s="13">
        <f>(H31/Calculator!$B$4)^(12/(C31-$C$5))-1</f>
        <v/>
      </c>
    </row>
    <row r="32">
      <c r="A32" s="18" t="n">
        <v>2022</v>
      </c>
      <c r="B32" s="6">
        <f>C32-C31</f>
        <v/>
      </c>
      <c r="C32" s="6">
        <f>4+COUNTIF(Data!$B$5:$B$500,"&lt;="&amp;A32)</f>
        <v/>
      </c>
      <c r="D32" s="12">
        <f>INDEX(Monthly!$G$1:$G$500,$C32)</f>
        <v/>
      </c>
      <c r="E32" s="12">
        <f>INDEX(Monthly!$H$1:$H$500,$C32)</f>
        <v/>
      </c>
      <c r="F32" s="12">
        <f>INDEX(Monthly!$I$1:$I$500,$C32)</f>
        <v/>
      </c>
      <c r="G32" s="12">
        <f>INDEX(Monthly!$J$1:$J$500,$C32)</f>
        <v/>
      </c>
      <c r="H32" s="12">
        <f>INDEX(Monthly!$K$1:$K$500,$C32)</f>
        <v/>
      </c>
      <c r="I32" s="13">
        <f>H32/H31-1</f>
        <v/>
      </c>
      <c r="J32" s="19">
        <f>INDEX(Data!$H$1:$H$500,$C32)</f>
        <v/>
      </c>
      <c r="K32" s="12">
        <f>INDEX(Monthly!$L$1:$L$500,$C32)</f>
        <v/>
      </c>
      <c r="L32" s="13">
        <f>(H32/Calculator!$B$4)^(12/(C32-$C$5))-1</f>
        <v/>
      </c>
    </row>
    <row r="33">
      <c r="A33" s="18" t="n">
        <v>2023</v>
      </c>
      <c r="B33" s="6">
        <f>C33-C32</f>
        <v/>
      </c>
      <c r="C33" s="6">
        <f>4+COUNTIF(Data!$B$5:$B$500,"&lt;="&amp;A33)</f>
        <v/>
      </c>
      <c r="D33" s="12">
        <f>INDEX(Monthly!$G$1:$G$500,$C33)</f>
        <v/>
      </c>
      <c r="E33" s="12">
        <f>INDEX(Monthly!$H$1:$H$500,$C33)</f>
        <v/>
      </c>
      <c r="F33" s="12">
        <f>INDEX(Monthly!$I$1:$I$500,$C33)</f>
        <v/>
      </c>
      <c r="G33" s="12">
        <f>INDEX(Monthly!$J$1:$J$500,$C33)</f>
        <v/>
      </c>
      <c r="H33" s="12">
        <f>INDEX(Monthly!$K$1:$K$500,$C33)</f>
        <v/>
      </c>
      <c r="I33" s="13">
        <f>H33/H32-1</f>
        <v/>
      </c>
      <c r="J33" s="19">
        <f>INDEX(Data!$H$1:$H$500,$C33)</f>
        <v/>
      </c>
      <c r="K33" s="12">
        <f>INDEX(Monthly!$L$1:$L$500,$C33)</f>
        <v/>
      </c>
      <c r="L33" s="13">
        <f>(H33/Calculator!$B$4)^(12/(C33-$C$5))-1</f>
        <v/>
      </c>
    </row>
    <row r="34">
      <c r="A34" s="18" t="n">
        <v>2024</v>
      </c>
      <c r="B34" s="6">
        <f>C34-C33</f>
        <v/>
      </c>
      <c r="C34" s="6">
        <f>4+COUNTIF(Data!$B$5:$B$500,"&lt;="&amp;A34)</f>
        <v/>
      </c>
      <c r="D34" s="12">
        <f>INDEX(Monthly!$G$1:$G$500,$C34)</f>
        <v/>
      </c>
      <c r="E34" s="12">
        <f>INDEX(Monthly!$H$1:$H$500,$C34)</f>
        <v/>
      </c>
      <c r="F34" s="12">
        <f>INDEX(Monthly!$I$1:$I$500,$C34)</f>
        <v/>
      </c>
      <c r="G34" s="12">
        <f>INDEX(Monthly!$J$1:$J$500,$C34)</f>
        <v/>
      </c>
      <c r="H34" s="12">
        <f>INDEX(Monthly!$K$1:$K$500,$C34)</f>
        <v/>
      </c>
      <c r="I34" s="13">
        <f>H34/H33-1</f>
        <v/>
      </c>
      <c r="J34" s="19">
        <f>INDEX(Data!$H$1:$H$500,$C34)</f>
        <v/>
      </c>
      <c r="K34" s="12">
        <f>INDEX(Monthly!$L$1:$L$500,$C34)</f>
        <v/>
      </c>
      <c r="L34" s="13">
        <f>(H34/Calculator!$B$4)^(12/(C34-$C$5))-1</f>
        <v/>
      </c>
    </row>
    <row r="35">
      <c r="A35" s="18" t="n">
        <v>2025</v>
      </c>
      <c r="B35" s="6">
        <f>C35-C34</f>
        <v/>
      </c>
      <c r="C35" s="6">
        <f>4+COUNTIF(Data!$B$5:$B$500,"&lt;="&amp;A35)</f>
        <v/>
      </c>
      <c r="D35" s="12">
        <f>INDEX(Monthly!$G$1:$G$500,$C35)</f>
        <v/>
      </c>
      <c r="E35" s="12">
        <f>INDEX(Monthly!$H$1:$H$500,$C35)</f>
        <v/>
      </c>
      <c r="F35" s="12">
        <f>INDEX(Monthly!$I$1:$I$500,$C35)</f>
        <v/>
      </c>
      <c r="G35" s="12">
        <f>INDEX(Monthly!$J$1:$J$500,$C35)</f>
        <v/>
      </c>
      <c r="H35" s="12">
        <f>INDEX(Monthly!$K$1:$K$500,$C35)</f>
        <v/>
      </c>
      <c r="I35" s="13">
        <f>H35/H34-1</f>
        <v/>
      </c>
      <c r="J35" s="19">
        <f>INDEX(Data!$H$1:$H$500,$C35)</f>
        <v/>
      </c>
      <c r="K35" s="12">
        <f>INDEX(Monthly!$L$1:$L$500,$C35)</f>
        <v/>
      </c>
      <c r="L35" s="13">
        <f>(H35/Calculator!$B$4)^(12/(C35-$C$5))-1</f>
        <v/>
      </c>
    </row>
    <row r="36">
      <c r="A36" s="20" t="n">
        <v>2026</v>
      </c>
      <c r="B36" s="6">
        <f>C36-C35</f>
        <v/>
      </c>
      <c r="C36" s="6">
        <f>4+COUNTIF(Data!$B$5:$B$500,"&lt;="&amp;A36)</f>
        <v/>
      </c>
      <c r="D36" s="12">
        <f>INDEX(Monthly!$G$1:$G$500,$C36)</f>
        <v/>
      </c>
      <c r="E36" s="12">
        <f>INDEX(Monthly!$H$1:$H$500,$C36)</f>
        <v/>
      </c>
      <c r="F36" s="12">
        <f>INDEX(Monthly!$I$1:$I$500,$C36)</f>
        <v/>
      </c>
      <c r="G36" s="12">
        <f>INDEX(Monthly!$J$1:$J$500,$C36)</f>
        <v/>
      </c>
      <c r="H36" s="12">
        <f>INDEX(Monthly!$K$1:$K$500,$C36)</f>
        <v/>
      </c>
      <c r="I36" s="13">
        <f>H36/H35-1</f>
        <v/>
      </c>
      <c r="J36" s="19">
        <f>INDEX(Data!$H$1:$H$500,$C36)</f>
        <v/>
      </c>
      <c r="K36" s="12">
        <f>INDEX(Monthly!$L$1:$L$500,$C36)</f>
        <v/>
      </c>
      <c r="L36" s="13">
        <f>(H36/Calculator!$B$4)^(12/(C36-$C$5))-1</f>
        <v/>
      </c>
    </row>
    <row r="3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4" t="inlineStr">
        <is>
          <t>Asset tracker: what you hold in each asset, year by year (December values; the last year ends at the last complete month)</t>
        </is>
      </c>
    </row>
    <row r="2" ht="48" customHeight="1">
      <c r="A2" s="24" t="inlineStr">
        <is>
          <t>Share = the Nifty shares / gold grams you bought once at the start (Dec 1995 close) (never sold). Value = Share x price. Target Value = target % x the whole portfolio that year. Buy/Sell = Target Value - Value (+ buy, - sell) to get back to your target. Annual Return = price change in the year. Peak = highest Value so far, Drawdown % = Value / Peak - 1, CAGR % = yearly growth since the start.</t>
        </is>
      </c>
    </row>
    <row r="4" ht="32" customHeight="1">
      <c r="A4" s="32" t="inlineStr">
        <is>
          <t>Year</t>
        </is>
      </c>
      <c r="B4" s="32" t="inlineStr">
        <is>
          <t>Row in Data</t>
        </is>
      </c>
      <c r="C4" s="33" t="inlineStr">
        <is>
          <t>Nifty price</t>
        </is>
      </c>
      <c r="D4" s="33" t="inlineStr">
        <is>
          <t>Shares</t>
        </is>
      </c>
      <c r="E4" s="33" t="inlineStr">
        <is>
          <t>Nifty Value</t>
        </is>
      </c>
      <c r="F4" s="33" t="inlineStr">
        <is>
          <t>Nifty Target Value</t>
        </is>
      </c>
      <c r="G4" s="33" t="inlineStr">
        <is>
          <t>Buy/Sell</t>
        </is>
      </c>
      <c r="H4" s="33" t="inlineStr">
        <is>
          <t>Annual Return</t>
        </is>
      </c>
      <c r="I4" s="33" t="inlineStr">
        <is>
          <t>Peak</t>
        </is>
      </c>
      <c r="J4" s="33" t="inlineStr">
        <is>
          <t>Drawdown %</t>
        </is>
      </c>
      <c r="K4" s="33" t="inlineStr">
        <is>
          <t>CAGR %</t>
        </is>
      </c>
      <c r="L4" s="34" t="inlineStr">
        <is>
          <t>Gold ₹/g</t>
        </is>
      </c>
      <c r="M4" s="34" t="inlineStr">
        <is>
          <t>Gold (g)</t>
        </is>
      </c>
      <c r="N4" s="34" t="inlineStr">
        <is>
          <t>Gold Value</t>
        </is>
      </c>
      <c r="O4" s="34" t="inlineStr">
        <is>
          <t>Target Value</t>
        </is>
      </c>
      <c r="P4" s="34" t="inlineStr">
        <is>
          <t>Buy/Sell</t>
        </is>
      </c>
      <c r="Q4" s="34" t="inlineStr">
        <is>
          <t>Annual Return</t>
        </is>
      </c>
      <c r="R4" s="34" t="inlineStr">
        <is>
          <t>Peak</t>
        </is>
      </c>
      <c r="S4" s="34" t="inlineStr">
        <is>
          <t>Drawdown %</t>
        </is>
      </c>
      <c r="T4" s="34" t="inlineStr">
        <is>
          <t>CAGR %</t>
        </is>
      </c>
      <c r="U4" s="35" t="inlineStr">
        <is>
          <t>Bonds x</t>
        </is>
      </c>
      <c r="V4" s="35" t="inlineStr">
        <is>
          <t>Bonds (money in)</t>
        </is>
      </c>
      <c r="W4" s="35" t="inlineStr">
        <is>
          <t>Bonds Value</t>
        </is>
      </c>
      <c r="X4" s="35" t="inlineStr">
        <is>
          <t>Target Value</t>
        </is>
      </c>
      <c r="Y4" s="35" t="inlineStr">
        <is>
          <t>Buy/Sell</t>
        </is>
      </c>
      <c r="Z4" s="35" t="inlineStr">
        <is>
          <t>Annual Return</t>
        </is>
      </c>
      <c r="AA4" s="35" t="inlineStr">
        <is>
          <t>Peak</t>
        </is>
      </c>
      <c r="AB4" s="35" t="inlineStr">
        <is>
          <t>Drawdown %</t>
        </is>
      </c>
      <c r="AC4" s="35" t="inlineStr">
        <is>
          <t>CAGR %</t>
        </is>
      </c>
      <c r="AD4" s="36" t="inlineStr">
        <is>
          <t>Cash price</t>
        </is>
      </c>
      <c r="AE4" s="36" t="inlineStr">
        <is>
          <t>Cash (Rs)</t>
        </is>
      </c>
      <c r="AF4" s="36" t="inlineStr">
        <is>
          <t>Cash Value</t>
        </is>
      </c>
      <c r="AG4" s="36" t="inlineStr">
        <is>
          <t>Target Value</t>
        </is>
      </c>
      <c r="AH4" s="36" t="inlineStr">
        <is>
          <t>Buy/Sell</t>
        </is>
      </c>
      <c r="AI4" s="36" t="inlineStr">
        <is>
          <t>Annual Return</t>
        </is>
      </c>
      <c r="AJ4" s="36" t="inlineStr">
        <is>
          <t>Peak</t>
        </is>
      </c>
      <c r="AK4" s="36" t="inlineStr">
        <is>
          <t>Drawdown %</t>
        </is>
      </c>
      <c r="AL4" s="36" t="inlineStr">
        <is>
          <t>CAGR %</t>
        </is>
      </c>
      <c r="AM4" s="37" t="inlineStr">
        <is>
          <t>Portfolio Value</t>
        </is>
      </c>
      <c r="AN4" s="37" t="inlineStr">
        <is>
          <t>Annual Return</t>
        </is>
      </c>
      <c r="AO4" s="37" t="inlineStr">
        <is>
          <t>Peak</t>
        </is>
      </c>
      <c r="AP4" s="37" t="inlineStr">
        <is>
          <t>Drawdown %</t>
        </is>
      </c>
      <c r="AQ4" s="37" t="inlineStr">
        <is>
          <t>CAGR %</t>
        </is>
      </c>
      <c r="AR4" s="37" t="inlineStr">
        <is>
          <t>Check: Buy/Sell adds to 0</t>
        </is>
      </c>
    </row>
    <row r="5">
      <c r="A5" s="5" t="inlineStr">
        <is>
          <t>1995 Dec</t>
        </is>
      </c>
      <c r="B5" s="5">
        <f>'Year by year'!C5</f>
        <v/>
      </c>
      <c r="C5" s="38">
        <f>INDEX(Data!$C$1:$C$500,$B5)</f>
        <v/>
      </c>
      <c r="D5" s="38">
        <f>Calculator!$D$31</f>
        <v/>
      </c>
      <c r="E5" s="11">
        <f>D5*C5</f>
        <v/>
      </c>
      <c r="F5" s="11">
        <f>Calculator!$B$5/100*AM5</f>
        <v/>
      </c>
      <c r="G5" s="39">
        <f>F5-E5</f>
        <v/>
      </c>
      <c r="H5" s="40" t="n"/>
      <c r="I5" s="11">
        <f>E5</f>
        <v/>
      </c>
      <c r="J5" s="40">
        <f>IF(I5&gt;0,E5/I5-1,0)</f>
        <v/>
      </c>
      <c r="K5" s="40" t="n"/>
      <c r="L5" s="38">
        <f>INDEX(Data!$G$1:$G$500,$B5)</f>
        <v/>
      </c>
      <c r="M5" s="38">
        <f>Calculator!$D$32</f>
        <v/>
      </c>
      <c r="N5" s="11">
        <f>M5*L5</f>
        <v/>
      </c>
      <c r="O5" s="11">
        <f>Calculator!$B$6/100*AM5</f>
        <v/>
      </c>
      <c r="P5" s="39">
        <f>O5-N5</f>
        <v/>
      </c>
      <c r="Q5" s="40" t="n"/>
      <c r="R5" s="11">
        <f>N5</f>
        <v/>
      </c>
      <c r="S5" s="40">
        <f>IF(R5&gt;0,N5/R5-1,0)</f>
        <v/>
      </c>
      <c r="T5" s="40" t="n"/>
      <c r="U5" s="41">
        <f>INDEX(Monthly!$D$1:$D$500,$B5)</f>
        <v/>
      </c>
      <c r="V5" s="38">
        <f>Calculator!$B$33</f>
        <v/>
      </c>
      <c r="W5" s="11">
        <f>V5*U5</f>
        <v/>
      </c>
      <c r="X5" s="11">
        <f>Calculator!$B$7/100*AM5</f>
        <v/>
      </c>
      <c r="Y5" s="39">
        <f>X5-W5</f>
        <v/>
      </c>
      <c r="Z5" s="40" t="n"/>
      <c r="AA5" s="11">
        <f>W5</f>
        <v/>
      </c>
      <c r="AB5" s="40">
        <f>IF(AA5&gt;0,W5/AA5-1,0)</f>
        <v/>
      </c>
      <c r="AC5" s="40" t="n"/>
      <c r="AD5" s="41" t="n">
        <v>1</v>
      </c>
      <c r="AE5" s="38">
        <f>Calculator!$B$34</f>
        <v/>
      </c>
      <c r="AF5" s="11">
        <f>AE5*AD5</f>
        <v/>
      </c>
      <c r="AG5" s="11">
        <f>Calculator!$B$8/100*AM5</f>
        <v/>
      </c>
      <c r="AH5" s="39">
        <f>AG5-AF5</f>
        <v/>
      </c>
      <c r="AI5" s="40" t="n"/>
      <c r="AJ5" s="11">
        <f>AF5</f>
        <v/>
      </c>
      <c r="AK5" s="40">
        <f>IF(AJ5&gt;0,AF5/AJ5-1,0)</f>
        <v/>
      </c>
      <c r="AL5" s="40" t="n"/>
      <c r="AM5" s="11">
        <f>E5+N5+W5+AF5</f>
        <v/>
      </c>
      <c r="AN5" s="40" t="n"/>
      <c r="AO5" s="11">
        <f>AM5</f>
        <v/>
      </c>
      <c r="AP5" s="40">
        <f>AM5/AO5-1</f>
        <v/>
      </c>
      <c r="AQ5" s="40" t="n"/>
      <c r="AR5" s="11">
        <f>G5+P5+Y5+AH5</f>
        <v/>
      </c>
    </row>
    <row r="6">
      <c r="A6" s="5" t="inlineStr">
        <is>
          <t>1996 Dec</t>
        </is>
      </c>
      <c r="B6" s="6">
        <f>'Year by year'!C6</f>
        <v/>
      </c>
      <c r="C6" s="22">
        <f>INDEX(Data!$C$1:$C$500,$B6)</f>
        <v/>
      </c>
      <c r="D6" s="22">
        <f>Calculator!$D$31</f>
        <v/>
      </c>
      <c r="E6" s="12">
        <f>D6*C6</f>
        <v/>
      </c>
      <c r="F6" s="12">
        <f>Calculator!$B$5/100*AM6</f>
        <v/>
      </c>
      <c r="G6" s="42">
        <f>F6-E6</f>
        <v/>
      </c>
      <c r="H6" s="13">
        <f>C6/Data!$C$5-1</f>
        <v/>
      </c>
      <c r="I6" s="12">
        <f>MAX(Calculator!$B$31,E6)</f>
        <v/>
      </c>
      <c r="J6" s="13">
        <f>IF(I6&gt;0,E6/I6-1,0)</f>
        <v/>
      </c>
      <c r="K6" s="13">
        <f>(C6/Data!$C$5)^(12/($B6-5))-1</f>
        <v/>
      </c>
      <c r="L6" s="22">
        <f>INDEX(Data!$G$1:$G$500,$B6)</f>
        <v/>
      </c>
      <c r="M6" s="22">
        <f>Calculator!$D$32</f>
        <v/>
      </c>
      <c r="N6" s="12">
        <f>M6*L6</f>
        <v/>
      </c>
      <c r="O6" s="12">
        <f>Calculator!$B$6/100*AM6</f>
        <v/>
      </c>
      <c r="P6" s="42">
        <f>O6-N6</f>
        <v/>
      </c>
      <c r="Q6" s="13">
        <f>L6/Data!$G$5-1</f>
        <v/>
      </c>
      <c r="R6" s="12">
        <f>MAX(Calculator!$B$32,N6)</f>
        <v/>
      </c>
      <c r="S6" s="13">
        <f>IF(R6&gt;0,N6/R6-1,0)</f>
        <v/>
      </c>
      <c r="T6" s="13">
        <f>(L6/Data!$G$5)^(12/($B6-5))-1</f>
        <v/>
      </c>
      <c r="U6" s="16">
        <f>INDEX(Monthly!$D$1:$D$500,$B6)</f>
        <v/>
      </c>
      <c r="V6" s="22">
        <f>Calculator!$B$33</f>
        <v/>
      </c>
      <c r="W6" s="12">
        <f>V6*U6</f>
        <v/>
      </c>
      <c r="X6" s="12">
        <f>Calculator!$B$7/100*AM6</f>
        <v/>
      </c>
      <c r="Y6" s="42">
        <f>X6-W6</f>
        <v/>
      </c>
      <c r="Z6" s="13">
        <f>U6/1-1</f>
        <v/>
      </c>
      <c r="AA6" s="12">
        <f>MAX(Calculator!$B$33,W6)</f>
        <v/>
      </c>
      <c r="AB6" s="13">
        <f>IF(AA6&gt;0,W6/AA6-1,0)</f>
        <v/>
      </c>
      <c r="AC6" s="13">
        <f>(U6/1)^(12/($B6-5))-1</f>
        <v/>
      </c>
      <c r="AD6" s="16" t="n">
        <v>1</v>
      </c>
      <c r="AE6" s="22">
        <f>Calculator!$B$34</f>
        <v/>
      </c>
      <c r="AF6" s="12">
        <f>AE6*AD6</f>
        <v/>
      </c>
      <c r="AG6" s="12">
        <f>Calculator!$B$8/100*AM6</f>
        <v/>
      </c>
      <c r="AH6" s="42">
        <f>AG6-AF6</f>
        <v/>
      </c>
      <c r="AI6" s="13">
        <f>AD6/1-1</f>
        <v/>
      </c>
      <c r="AJ6" s="12">
        <f>MAX(Calculator!$B$34,AF6)</f>
        <v/>
      </c>
      <c r="AK6" s="13">
        <f>IF(AJ6&gt;0,AF6/AJ6-1,0)</f>
        <v/>
      </c>
      <c r="AL6" s="13">
        <f>(AD6/1)^(12/($B6-5))-1</f>
        <v/>
      </c>
      <c r="AM6" s="11">
        <f>E6+N6+W6+AF6</f>
        <v/>
      </c>
      <c r="AN6" s="13">
        <f>AM6/Calculator!$B$4-1</f>
        <v/>
      </c>
      <c r="AO6" s="12">
        <f>MAX(Calculator!$B$4,AM6)</f>
        <v/>
      </c>
      <c r="AP6" s="13">
        <f>AM6/AO6-1</f>
        <v/>
      </c>
      <c r="AQ6" s="13">
        <f>(AM6/Calculator!$B$4)^(12/($B6-5))-1</f>
        <v/>
      </c>
      <c r="AR6" s="12">
        <f>G6+P6+Y6+AH6</f>
        <v/>
      </c>
    </row>
    <row r="7">
      <c r="A7" s="5" t="inlineStr">
        <is>
          <t>1997 Dec</t>
        </is>
      </c>
      <c r="B7" s="6">
        <f>'Year by year'!C7</f>
        <v/>
      </c>
      <c r="C7" s="22">
        <f>INDEX(Data!$C$1:$C$500,$B7)</f>
        <v/>
      </c>
      <c r="D7" s="22">
        <f>Calculator!$D$31</f>
        <v/>
      </c>
      <c r="E7" s="12">
        <f>D7*C7</f>
        <v/>
      </c>
      <c r="F7" s="12">
        <f>Calculator!$B$5/100*AM7</f>
        <v/>
      </c>
      <c r="G7" s="42">
        <f>F7-E7</f>
        <v/>
      </c>
      <c r="H7" s="13">
        <f>C7/C6-1</f>
        <v/>
      </c>
      <c r="I7" s="12">
        <f>MAX(I6,E7)</f>
        <v/>
      </c>
      <c r="J7" s="13">
        <f>IF(I7&gt;0,E7/I7-1,0)</f>
        <v/>
      </c>
      <c r="K7" s="13">
        <f>(C7/Data!$C$5)^(12/($B7-5))-1</f>
        <v/>
      </c>
      <c r="L7" s="22">
        <f>INDEX(Data!$G$1:$G$500,$B7)</f>
        <v/>
      </c>
      <c r="M7" s="22">
        <f>Calculator!$D$32</f>
        <v/>
      </c>
      <c r="N7" s="12">
        <f>M7*L7</f>
        <v/>
      </c>
      <c r="O7" s="12">
        <f>Calculator!$B$6/100*AM7</f>
        <v/>
      </c>
      <c r="P7" s="42">
        <f>O7-N7</f>
        <v/>
      </c>
      <c r="Q7" s="13">
        <f>L7/L6-1</f>
        <v/>
      </c>
      <c r="R7" s="12">
        <f>MAX(R6,N7)</f>
        <v/>
      </c>
      <c r="S7" s="13">
        <f>IF(R7&gt;0,N7/R7-1,0)</f>
        <v/>
      </c>
      <c r="T7" s="13">
        <f>(L7/Data!$G$5)^(12/($B7-5))-1</f>
        <v/>
      </c>
      <c r="U7" s="16">
        <f>INDEX(Monthly!$D$1:$D$500,$B7)</f>
        <v/>
      </c>
      <c r="V7" s="22">
        <f>Calculator!$B$33</f>
        <v/>
      </c>
      <c r="W7" s="12">
        <f>V7*U7</f>
        <v/>
      </c>
      <c r="X7" s="12">
        <f>Calculator!$B$7/100*AM7</f>
        <v/>
      </c>
      <c r="Y7" s="42">
        <f>X7-W7</f>
        <v/>
      </c>
      <c r="Z7" s="13">
        <f>U7/U6-1</f>
        <v/>
      </c>
      <c r="AA7" s="12">
        <f>MAX(AA6,W7)</f>
        <v/>
      </c>
      <c r="AB7" s="13">
        <f>IF(AA7&gt;0,W7/AA7-1,0)</f>
        <v/>
      </c>
      <c r="AC7" s="13">
        <f>(U7/1)^(12/($B7-5))-1</f>
        <v/>
      </c>
      <c r="AD7" s="16" t="n">
        <v>1</v>
      </c>
      <c r="AE7" s="22">
        <f>Calculator!$B$34</f>
        <v/>
      </c>
      <c r="AF7" s="12">
        <f>AE7*AD7</f>
        <v/>
      </c>
      <c r="AG7" s="12">
        <f>Calculator!$B$8/100*AM7</f>
        <v/>
      </c>
      <c r="AH7" s="42">
        <f>AG7-AF7</f>
        <v/>
      </c>
      <c r="AI7" s="13">
        <f>AD7/AD6-1</f>
        <v/>
      </c>
      <c r="AJ7" s="12">
        <f>MAX(AJ6,AF7)</f>
        <v/>
      </c>
      <c r="AK7" s="13">
        <f>IF(AJ7&gt;0,AF7/AJ7-1,0)</f>
        <v/>
      </c>
      <c r="AL7" s="13">
        <f>(AD7/1)^(12/($B7-5))-1</f>
        <v/>
      </c>
      <c r="AM7" s="11">
        <f>E7+N7+W7+AF7</f>
        <v/>
      </c>
      <c r="AN7" s="13">
        <f>AM7/AM6-1</f>
        <v/>
      </c>
      <c r="AO7" s="12">
        <f>MAX(AO6,AM7)</f>
        <v/>
      </c>
      <c r="AP7" s="13">
        <f>AM7/AO7-1</f>
        <v/>
      </c>
      <c r="AQ7" s="13">
        <f>(AM7/Calculator!$B$4)^(12/($B7-5))-1</f>
        <v/>
      </c>
      <c r="AR7" s="12">
        <f>G7+P7+Y7+AH7</f>
        <v/>
      </c>
    </row>
    <row r="8">
      <c r="A8" s="5" t="inlineStr">
        <is>
          <t>1998 Dec</t>
        </is>
      </c>
      <c r="B8" s="6">
        <f>'Year by year'!C8</f>
        <v/>
      </c>
      <c r="C8" s="22">
        <f>INDEX(Data!$C$1:$C$500,$B8)</f>
        <v/>
      </c>
      <c r="D8" s="22">
        <f>Calculator!$D$31</f>
        <v/>
      </c>
      <c r="E8" s="12">
        <f>D8*C8</f>
        <v/>
      </c>
      <c r="F8" s="12">
        <f>Calculator!$B$5/100*AM8</f>
        <v/>
      </c>
      <c r="G8" s="42">
        <f>F8-E8</f>
        <v/>
      </c>
      <c r="H8" s="13">
        <f>C8/C7-1</f>
        <v/>
      </c>
      <c r="I8" s="12">
        <f>MAX(I7,E8)</f>
        <v/>
      </c>
      <c r="J8" s="13">
        <f>IF(I8&gt;0,E8/I8-1,0)</f>
        <v/>
      </c>
      <c r="K8" s="13">
        <f>(C8/Data!$C$5)^(12/($B8-5))-1</f>
        <v/>
      </c>
      <c r="L8" s="22">
        <f>INDEX(Data!$G$1:$G$500,$B8)</f>
        <v/>
      </c>
      <c r="M8" s="22">
        <f>Calculator!$D$32</f>
        <v/>
      </c>
      <c r="N8" s="12">
        <f>M8*L8</f>
        <v/>
      </c>
      <c r="O8" s="12">
        <f>Calculator!$B$6/100*AM8</f>
        <v/>
      </c>
      <c r="P8" s="42">
        <f>O8-N8</f>
        <v/>
      </c>
      <c r="Q8" s="13">
        <f>L8/L7-1</f>
        <v/>
      </c>
      <c r="R8" s="12">
        <f>MAX(R7,N8)</f>
        <v/>
      </c>
      <c r="S8" s="13">
        <f>IF(R8&gt;0,N8/R8-1,0)</f>
        <v/>
      </c>
      <c r="T8" s="13">
        <f>(L8/Data!$G$5)^(12/($B8-5))-1</f>
        <v/>
      </c>
      <c r="U8" s="16">
        <f>INDEX(Monthly!$D$1:$D$500,$B8)</f>
        <v/>
      </c>
      <c r="V8" s="22">
        <f>Calculator!$B$33</f>
        <v/>
      </c>
      <c r="W8" s="12">
        <f>V8*U8</f>
        <v/>
      </c>
      <c r="X8" s="12">
        <f>Calculator!$B$7/100*AM8</f>
        <v/>
      </c>
      <c r="Y8" s="42">
        <f>X8-W8</f>
        <v/>
      </c>
      <c r="Z8" s="13">
        <f>U8/U7-1</f>
        <v/>
      </c>
      <c r="AA8" s="12">
        <f>MAX(AA7,W8)</f>
        <v/>
      </c>
      <c r="AB8" s="13">
        <f>IF(AA8&gt;0,W8/AA8-1,0)</f>
        <v/>
      </c>
      <c r="AC8" s="13">
        <f>(U8/1)^(12/($B8-5))-1</f>
        <v/>
      </c>
      <c r="AD8" s="16" t="n">
        <v>1</v>
      </c>
      <c r="AE8" s="22">
        <f>Calculator!$B$34</f>
        <v/>
      </c>
      <c r="AF8" s="12">
        <f>AE8*AD8</f>
        <v/>
      </c>
      <c r="AG8" s="12">
        <f>Calculator!$B$8/100*AM8</f>
        <v/>
      </c>
      <c r="AH8" s="42">
        <f>AG8-AF8</f>
        <v/>
      </c>
      <c r="AI8" s="13">
        <f>AD8/AD7-1</f>
        <v/>
      </c>
      <c r="AJ8" s="12">
        <f>MAX(AJ7,AF8)</f>
        <v/>
      </c>
      <c r="AK8" s="13">
        <f>IF(AJ8&gt;0,AF8/AJ8-1,0)</f>
        <v/>
      </c>
      <c r="AL8" s="13">
        <f>(AD8/1)^(12/($B8-5))-1</f>
        <v/>
      </c>
      <c r="AM8" s="11">
        <f>E8+N8+W8+AF8</f>
        <v/>
      </c>
      <c r="AN8" s="13">
        <f>AM8/AM7-1</f>
        <v/>
      </c>
      <c r="AO8" s="12">
        <f>MAX(AO7,AM8)</f>
        <v/>
      </c>
      <c r="AP8" s="13">
        <f>AM8/AO8-1</f>
        <v/>
      </c>
      <c r="AQ8" s="13">
        <f>(AM8/Calculator!$B$4)^(12/($B8-5))-1</f>
        <v/>
      </c>
      <c r="AR8" s="12">
        <f>G8+P8+Y8+AH8</f>
        <v/>
      </c>
    </row>
    <row r="9">
      <c r="A9" s="5" t="inlineStr">
        <is>
          <t>1999 Dec</t>
        </is>
      </c>
      <c r="B9" s="6">
        <f>'Year by year'!C9</f>
        <v/>
      </c>
      <c r="C9" s="22">
        <f>INDEX(Data!$C$1:$C$500,$B9)</f>
        <v/>
      </c>
      <c r="D9" s="22">
        <f>Calculator!$D$31</f>
        <v/>
      </c>
      <c r="E9" s="12">
        <f>D9*C9</f>
        <v/>
      </c>
      <c r="F9" s="12">
        <f>Calculator!$B$5/100*AM9</f>
        <v/>
      </c>
      <c r="G9" s="42">
        <f>F9-E9</f>
        <v/>
      </c>
      <c r="H9" s="13">
        <f>C9/C8-1</f>
        <v/>
      </c>
      <c r="I9" s="12">
        <f>MAX(I8,E9)</f>
        <v/>
      </c>
      <c r="J9" s="13">
        <f>IF(I9&gt;0,E9/I9-1,0)</f>
        <v/>
      </c>
      <c r="K9" s="13">
        <f>(C9/Data!$C$5)^(12/($B9-5))-1</f>
        <v/>
      </c>
      <c r="L9" s="22">
        <f>INDEX(Data!$G$1:$G$500,$B9)</f>
        <v/>
      </c>
      <c r="M9" s="22">
        <f>Calculator!$D$32</f>
        <v/>
      </c>
      <c r="N9" s="12">
        <f>M9*L9</f>
        <v/>
      </c>
      <c r="O9" s="12">
        <f>Calculator!$B$6/100*AM9</f>
        <v/>
      </c>
      <c r="P9" s="42">
        <f>O9-N9</f>
        <v/>
      </c>
      <c r="Q9" s="13">
        <f>L9/L8-1</f>
        <v/>
      </c>
      <c r="R9" s="12">
        <f>MAX(R8,N9)</f>
        <v/>
      </c>
      <c r="S9" s="13">
        <f>IF(R9&gt;0,N9/R9-1,0)</f>
        <v/>
      </c>
      <c r="T9" s="13">
        <f>(L9/Data!$G$5)^(12/($B9-5))-1</f>
        <v/>
      </c>
      <c r="U9" s="16">
        <f>INDEX(Monthly!$D$1:$D$500,$B9)</f>
        <v/>
      </c>
      <c r="V9" s="22">
        <f>Calculator!$B$33</f>
        <v/>
      </c>
      <c r="W9" s="12">
        <f>V9*U9</f>
        <v/>
      </c>
      <c r="X9" s="12">
        <f>Calculator!$B$7/100*AM9</f>
        <v/>
      </c>
      <c r="Y9" s="42">
        <f>X9-W9</f>
        <v/>
      </c>
      <c r="Z9" s="13">
        <f>U9/U8-1</f>
        <v/>
      </c>
      <c r="AA9" s="12">
        <f>MAX(AA8,W9)</f>
        <v/>
      </c>
      <c r="AB9" s="13">
        <f>IF(AA9&gt;0,W9/AA9-1,0)</f>
        <v/>
      </c>
      <c r="AC9" s="13">
        <f>(U9/1)^(12/($B9-5))-1</f>
        <v/>
      </c>
      <c r="AD9" s="16" t="n">
        <v>1</v>
      </c>
      <c r="AE9" s="22">
        <f>Calculator!$B$34</f>
        <v/>
      </c>
      <c r="AF9" s="12">
        <f>AE9*AD9</f>
        <v/>
      </c>
      <c r="AG9" s="12">
        <f>Calculator!$B$8/100*AM9</f>
        <v/>
      </c>
      <c r="AH9" s="42">
        <f>AG9-AF9</f>
        <v/>
      </c>
      <c r="AI9" s="13">
        <f>AD9/AD8-1</f>
        <v/>
      </c>
      <c r="AJ9" s="12">
        <f>MAX(AJ8,AF9)</f>
        <v/>
      </c>
      <c r="AK9" s="13">
        <f>IF(AJ9&gt;0,AF9/AJ9-1,0)</f>
        <v/>
      </c>
      <c r="AL9" s="13">
        <f>(AD9/1)^(12/($B9-5))-1</f>
        <v/>
      </c>
      <c r="AM9" s="11">
        <f>E9+N9+W9+AF9</f>
        <v/>
      </c>
      <c r="AN9" s="13">
        <f>AM9/AM8-1</f>
        <v/>
      </c>
      <c r="AO9" s="12">
        <f>MAX(AO8,AM9)</f>
        <v/>
      </c>
      <c r="AP9" s="13">
        <f>AM9/AO9-1</f>
        <v/>
      </c>
      <c r="AQ9" s="13">
        <f>(AM9/Calculator!$B$4)^(12/($B9-5))-1</f>
        <v/>
      </c>
      <c r="AR9" s="12">
        <f>G9+P9+Y9+AH9</f>
        <v/>
      </c>
    </row>
    <row r="10">
      <c r="A10" s="5" t="inlineStr">
        <is>
          <t>2000 Dec</t>
        </is>
      </c>
      <c r="B10" s="6">
        <f>'Year by year'!C10</f>
        <v/>
      </c>
      <c r="C10" s="22">
        <f>INDEX(Data!$C$1:$C$500,$B10)</f>
        <v/>
      </c>
      <c r="D10" s="22">
        <f>Calculator!$D$31</f>
        <v/>
      </c>
      <c r="E10" s="12">
        <f>D10*C10</f>
        <v/>
      </c>
      <c r="F10" s="12">
        <f>Calculator!$B$5/100*AM10</f>
        <v/>
      </c>
      <c r="G10" s="42">
        <f>F10-E10</f>
        <v/>
      </c>
      <c r="H10" s="13">
        <f>C10/C9-1</f>
        <v/>
      </c>
      <c r="I10" s="12">
        <f>MAX(I9,E10)</f>
        <v/>
      </c>
      <c r="J10" s="13">
        <f>IF(I10&gt;0,E10/I10-1,0)</f>
        <v/>
      </c>
      <c r="K10" s="13">
        <f>(C10/Data!$C$5)^(12/($B10-5))-1</f>
        <v/>
      </c>
      <c r="L10" s="22">
        <f>INDEX(Data!$G$1:$G$500,$B10)</f>
        <v/>
      </c>
      <c r="M10" s="22">
        <f>Calculator!$D$32</f>
        <v/>
      </c>
      <c r="N10" s="12">
        <f>M10*L10</f>
        <v/>
      </c>
      <c r="O10" s="12">
        <f>Calculator!$B$6/100*AM10</f>
        <v/>
      </c>
      <c r="P10" s="42">
        <f>O10-N10</f>
        <v/>
      </c>
      <c r="Q10" s="13">
        <f>L10/L9-1</f>
        <v/>
      </c>
      <c r="R10" s="12">
        <f>MAX(R9,N10)</f>
        <v/>
      </c>
      <c r="S10" s="13">
        <f>IF(R10&gt;0,N10/R10-1,0)</f>
        <v/>
      </c>
      <c r="T10" s="13">
        <f>(L10/Data!$G$5)^(12/($B10-5))-1</f>
        <v/>
      </c>
      <c r="U10" s="16">
        <f>INDEX(Monthly!$D$1:$D$500,$B10)</f>
        <v/>
      </c>
      <c r="V10" s="22">
        <f>Calculator!$B$33</f>
        <v/>
      </c>
      <c r="W10" s="12">
        <f>V10*U10</f>
        <v/>
      </c>
      <c r="X10" s="12">
        <f>Calculator!$B$7/100*AM10</f>
        <v/>
      </c>
      <c r="Y10" s="42">
        <f>X10-W10</f>
        <v/>
      </c>
      <c r="Z10" s="13">
        <f>U10/U9-1</f>
        <v/>
      </c>
      <c r="AA10" s="12">
        <f>MAX(AA9,W10)</f>
        <v/>
      </c>
      <c r="AB10" s="13">
        <f>IF(AA10&gt;0,W10/AA10-1,0)</f>
        <v/>
      </c>
      <c r="AC10" s="13">
        <f>(U10/1)^(12/($B10-5))-1</f>
        <v/>
      </c>
      <c r="AD10" s="16" t="n">
        <v>1</v>
      </c>
      <c r="AE10" s="22">
        <f>Calculator!$B$34</f>
        <v/>
      </c>
      <c r="AF10" s="12">
        <f>AE10*AD10</f>
        <v/>
      </c>
      <c r="AG10" s="12">
        <f>Calculator!$B$8/100*AM10</f>
        <v/>
      </c>
      <c r="AH10" s="42">
        <f>AG10-AF10</f>
        <v/>
      </c>
      <c r="AI10" s="13">
        <f>AD10/AD9-1</f>
        <v/>
      </c>
      <c r="AJ10" s="12">
        <f>MAX(AJ9,AF10)</f>
        <v/>
      </c>
      <c r="AK10" s="13">
        <f>IF(AJ10&gt;0,AF10/AJ10-1,0)</f>
        <v/>
      </c>
      <c r="AL10" s="13">
        <f>(AD10/1)^(12/($B10-5))-1</f>
        <v/>
      </c>
      <c r="AM10" s="11">
        <f>E10+N10+W10+AF10</f>
        <v/>
      </c>
      <c r="AN10" s="13">
        <f>AM10/AM9-1</f>
        <v/>
      </c>
      <c r="AO10" s="12">
        <f>MAX(AO9,AM10)</f>
        <v/>
      </c>
      <c r="AP10" s="13">
        <f>AM10/AO10-1</f>
        <v/>
      </c>
      <c r="AQ10" s="13">
        <f>(AM10/Calculator!$B$4)^(12/($B10-5))-1</f>
        <v/>
      </c>
      <c r="AR10" s="12">
        <f>G10+P10+Y10+AH10</f>
        <v/>
      </c>
    </row>
    <row r="11">
      <c r="A11" s="5" t="inlineStr">
        <is>
          <t>2001 Dec</t>
        </is>
      </c>
      <c r="B11" s="6">
        <f>'Year by year'!C11</f>
        <v/>
      </c>
      <c r="C11" s="22">
        <f>INDEX(Data!$C$1:$C$500,$B11)</f>
        <v/>
      </c>
      <c r="D11" s="22">
        <f>Calculator!$D$31</f>
        <v/>
      </c>
      <c r="E11" s="12">
        <f>D11*C11</f>
        <v/>
      </c>
      <c r="F11" s="12">
        <f>Calculator!$B$5/100*AM11</f>
        <v/>
      </c>
      <c r="G11" s="42">
        <f>F11-E11</f>
        <v/>
      </c>
      <c r="H11" s="13">
        <f>C11/C10-1</f>
        <v/>
      </c>
      <c r="I11" s="12">
        <f>MAX(I10,E11)</f>
        <v/>
      </c>
      <c r="J11" s="13">
        <f>IF(I11&gt;0,E11/I11-1,0)</f>
        <v/>
      </c>
      <c r="K11" s="13">
        <f>(C11/Data!$C$5)^(12/($B11-5))-1</f>
        <v/>
      </c>
      <c r="L11" s="22">
        <f>INDEX(Data!$G$1:$G$500,$B11)</f>
        <v/>
      </c>
      <c r="M11" s="22">
        <f>Calculator!$D$32</f>
        <v/>
      </c>
      <c r="N11" s="12">
        <f>M11*L11</f>
        <v/>
      </c>
      <c r="O11" s="12">
        <f>Calculator!$B$6/100*AM11</f>
        <v/>
      </c>
      <c r="P11" s="42">
        <f>O11-N11</f>
        <v/>
      </c>
      <c r="Q11" s="13">
        <f>L11/L10-1</f>
        <v/>
      </c>
      <c r="R11" s="12">
        <f>MAX(R10,N11)</f>
        <v/>
      </c>
      <c r="S11" s="13">
        <f>IF(R11&gt;0,N11/R11-1,0)</f>
        <v/>
      </c>
      <c r="T11" s="13">
        <f>(L11/Data!$G$5)^(12/($B11-5))-1</f>
        <v/>
      </c>
      <c r="U11" s="16">
        <f>INDEX(Monthly!$D$1:$D$500,$B11)</f>
        <v/>
      </c>
      <c r="V11" s="22">
        <f>Calculator!$B$33</f>
        <v/>
      </c>
      <c r="W11" s="12">
        <f>V11*U11</f>
        <v/>
      </c>
      <c r="X11" s="12">
        <f>Calculator!$B$7/100*AM11</f>
        <v/>
      </c>
      <c r="Y11" s="42">
        <f>X11-W11</f>
        <v/>
      </c>
      <c r="Z11" s="13">
        <f>U11/U10-1</f>
        <v/>
      </c>
      <c r="AA11" s="12">
        <f>MAX(AA10,W11)</f>
        <v/>
      </c>
      <c r="AB11" s="13">
        <f>IF(AA11&gt;0,W11/AA11-1,0)</f>
        <v/>
      </c>
      <c r="AC11" s="13">
        <f>(U11/1)^(12/($B11-5))-1</f>
        <v/>
      </c>
      <c r="AD11" s="16" t="n">
        <v>1</v>
      </c>
      <c r="AE11" s="22">
        <f>Calculator!$B$34</f>
        <v/>
      </c>
      <c r="AF11" s="12">
        <f>AE11*AD11</f>
        <v/>
      </c>
      <c r="AG11" s="12">
        <f>Calculator!$B$8/100*AM11</f>
        <v/>
      </c>
      <c r="AH11" s="42">
        <f>AG11-AF11</f>
        <v/>
      </c>
      <c r="AI11" s="13">
        <f>AD11/AD10-1</f>
        <v/>
      </c>
      <c r="AJ11" s="12">
        <f>MAX(AJ10,AF11)</f>
        <v/>
      </c>
      <c r="AK11" s="13">
        <f>IF(AJ11&gt;0,AF11/AJ11-1,0)</f>
        <v/>
      </c>
      <c r="AL11" s="13">
        <f>(AD11/1)^(12/($B11-5))-1</f>
        <v/>
      </c>
      <c r="AM11" s="11">
        <f>E11+N11+W11+AF11</f>
        <v/>
      </c>
      <c r="AN11" s="13">
        <f>AM11/AM10-1</f>
        <v/>
      </c>
      <c r="AO11" s="12">
        <f>MAX(AO10,AM11)</f>
        <v/>
      </c>
      <c r="AP11" s="13">
        <f>AM11/AO11-1</f>
        <v/>
      </c>
      <c r="AQ11" s="13">
        <f>(AM11/Calculator!$B$4)^(12/($B11-5))-1</f>
        <v/>
      </c>
      <c r="AR11" s="12">
        <f>G11+P11+Y11+AH11</f>
        <v/>
      </c>
    </row>
    <row r="12">
      <c r="A12" s="5" t="inlineStr">
        <is>
          <t>2002 Dec</t>
        </is>
      </c>
      <c r="B12" s="6">
        <f>'Year by year'!C12</f>
        <v/>
      </c>
      <c r="C12" s="22">
        <f>INDEX(Data!$C$1:$C$500,$B12)</f>
        <v/>
      </c>
      <c r="D12" s="22">
        <f>Calculator!$D$31</f>
        <v/>
      </c>
      <c r="E12" s="12">
        <f>D12*C12</f>
        <v/>
      </c>
      <c r="F12" s="12">
        <f>Calculator!$B$5/100*AM12</f>
        <v/>
      </c>
      <c r="G12" s="42">
        <f>F12-E12</f>
        <v/>
      </c>
      <c r="H12" s="13">
        <f>C12/C11-1</f>
        <v/>
      </c>
      <c r="I12" s="12">
        <f>MAX(I11,E12)</f>
        <v/>
      </c>
      <c r="J12" s="13">
        <f>IF(I12&gt;0,E12/I12-1,0)</f>
        <v/>
      </c>
      <c r="K12" s="13">
        <f>(C12/Data!$C$5)^(12/($B12-5))-1</f>
        <v/>
      </c>
      <c r="L12" s="22">
        <f>INDEX(Data!$G$1:$G$500,$B12)</f>
        <v/>
      </c>
      <c r="M12" s="22">
        <f>Calculator!$D$32</f>
        <v/>
      </c>
      <c r="N12" s="12">
        <f>M12*L12</f>
        <v/>
      </c>
      <c r="O12" s="12">
        <f>Calculator!$B$6/100*AM12</f>
        <v/>
      </c>
      <c r="P12" s="42">
        <f>O12-N12</f>
        <v/>
      </c>
      <c r="Q12" s="13">
        <f>L12/L11-1</f>
        <v/>
      </c>
      <c r="R12" s="12">
        <f>MAX(R11,N12)</f>
        <v/>
      </c>
      <c r="S12" s="13">
        <f>IF(R12&gt;0,N12/R12-1,0)</f>
        <v/>
      </c>
      <c r="T12" s="13">
        <f>(L12/Data!$G$5)^(12/($B12-5))-1</f>
        <v/>
      </c>
      <c r="U12" s="16">
        <f>INDEX(Monthly!$D$1:$D$500,$B12)</f>
        <v/>
      </c>
      <c r="V12" s="22">
        <f>Calculator!$B$33</f>
        <v/>
      </c>
      <c r="W12" s="12">
        <f>V12*U12</f>
        <v/>
      </c>
      <c r="X12" s="12">
        <f>Calculator!$B$7/100*AM12</f>
        <v/>
      </c>
      <c r="Y12" s="42">
        <f>X12-W12</f>
        <v/>
      </c>
      <c r="Z12" s="13">
        <f>U12/U11-1</f>
        <v/>
      </c>
      <c r="AA12" s="12">
        <f>MAX(AA11,W12)</f>
        <v/>
      </c>
      <c r="AB12" s="13">
        <f>IF(AA12&gt;0,W12/AA12-1,0)</f>
        <v/>
      </c>
      <c r="AC12" s="13">
        <f>(U12/1)^(12/($B12-5))-1</f>
        <v/>
      </c>
      <c r="AD12" s="16" t="n">
        <v>1</v>
      </c>
      <c r="AE12" s="22">
        <f>Calculator!$B$34</f>
        <v/>
      </c>
      <c r="AF12" s="12">
        <f>AE12*AD12</f>
        <v/>
      </c>
      <c r="AG12" s="12">
        <f>Calculator!$B$8/100*AM12</f>
        <v/>
      </c>
      <c r="AH12" s="42">
        <f>AG12-AF12</f>
        <v/>
      </c>
      <c r="AI12" s="13">
        <f>AD12/AD11-1</f>
        <v/>
      </c>
      <c r="AJ12" s="12">
        <f>MAX(AJ11,AF12)</f>
        <v/>
      </c>
      <c r="AK12" s="13">
        <f>IF(AJ12&gt;0,AF12/AJ12-1,0)</f>
        <v/>
      </c>
      <c r="AL12" s="13">
        <f>(AD12/1)^(12/($B12-5))-1</f>
        <v/>
      </c>
      <c r="AM12" s="11">
        <f>E12+N12+W12+AF12</f>
        <v/>
      </c>
      <c r="AN12" s="13">
        <f>AM12/AM11-1</f>
        <v/>
      </c>
      <c r="AO12" s="12">
        <f>MAX(AO11,AM12)</f>
        <v/>
      </c>
      <c r="AP12" s="13">
        <f>AM12/AO12-1</f>
        <v/>
      </c>
      <c r="AQ12" s="13">
        <f>(AM12/Calculator!$B$4)^(12/($B12-5))-1</f>
        <v/>
      </c>
      <c r="AR12" s="12">
        <f>G12+P12+Y12+AH12</f>
        <v/>
      </c>
    </row>
    <row r="13">
      <c r="A13" s="5" t="inlineStr">
        <is>
          <t>2003 Dec</t>
        </is>
      </c>
      <c r="B13" s="6">
        <f>'Year by year'!C13</f>
        <v/>
      </c>
      <c r="C13" s="22">
        <f>INDEX(Data!$C$1:$C$500,$B13)</f>
        <v/>
      </c>
      <c r="D13" s="22">
        <f>Calculator!$D$31</f>
        <v/>
      </c>
      <c r="E13" s="12">
        <f>D13*C13</f>
        <v/>
      </c>
      <c r="F13" s="12">
        <f>Calculator!$B$5/100*AM13</f>
        <v/>
      </c>
      <c r="G13" s="42">
        <f>F13-E13</f>
        <v/>
      </c>
      <c r="H13" s="13">
        <f>C13/C12-1</f>
        <v/>
      </c>
      <c r="I13" s="12">
        <f>MAX(I12,E13)</f>
        <v/>
      </c>
      <c r="J13" s="13">
        <f>IF(I13&gt;0,E13/I13-1,0)</f>
        <v/>
      </c>
      <c r="K13" s="13">
        <f>(C13/Data!$C$5)^(12/($B13-5))-1</f>
        <v/>
      </c>
      <c r="L13" s="22">
        <f>INDEX(Data!$G$1:$G$500,$B13)</f>
        <v/>
      </c>
      <c r="M13" s="22">
        <f>Calculator!$D$32</f>
        <v/>
      </c>
      <c r="N13" s="12">
        <f>M13*L13</f>
        <v/>
      </c>
      <c r="O13" s="12">
        <f>Calculator!$B$6/100*AM13</f>
        <v/>
      </c>
      <c r="P13" s="42">
        <f>O13-N13</f>
        <v/>
      </c>
      <c r="Q13" s="13">
        <f>L13/L12-1</f>
        <v/>
      </c>
      <c r="R13" s="12">
        <f>MAX(R12,N13)</f>
        <v/>
      </c>
      <c r="S13" s="13">
        <f>IF(R13&gt;0,N13/R13-1,0)</f>
        <v/>
      </c>
      <c r="T13" s="13">
        <f>(L13/Data!$G$5)^(12/($B13-5))-1</f>
        <v/>
      </c>
      <c r="U13" s="16">
        <f>INDEX(Monthly!$D$1:$D$500,$B13)</f>
        <v/>
      </c>
      <c r="V13" s="22">
        <f>Calculator!$B$33</f>
        <v/>
      </c>
      <c r="W13" s="12">
        <f>V13*U13</f>
        <v/>
      </c>
      <c r="X13" s="12">
        <f>Calculator!$B$7/100*AM13</f>
        <v/>
      </c>
      <c r="Y13" s="42">
        <f>X13-W13</f>
        <v/>
      </c>
      <c r="Z13" s="13">
        <f>U13/U12-1</f>
        <v/>
      </c>
      <c r="AA13" s="12">
        <f>MAX(AA12,W13)</f>
        <v/>
      </c>
      <c r="AB13" s="13">
        <f>IF(AA13&gt;0,W13/AA13-1,0)</f>
        <v/>
      </c>
      <c r="AC13" s="13">
        <f>(U13/1)^(12/($B13-5))-1</f>
        <v/>
      </c>
      <c r="AD13" s="16" t="n">
        <v>1</v>
      </c>
      <c r="AE13" s="22">
        <f>Calculator!$B$34</f>
        <v/>
      </c>
      <c r="AF13" s="12">
        <f>AE13*AD13</f>
        <v/>
      </c>
      <c r="AG13" s="12">
        <f>Calculator!$B$8/100*AM13</f>
        <v/>
      </c>
      <c r="AH13" s="42">
        <f>AG13-AF13</f>
        <v/>
      </c>
      <c r="AI13" s="13">
        <f>AD13/AD12-1</f>
        <v/>
      </c>
      <c r="AJ13" s="12">
        <f>MAX(AJ12,AF13)</f>
        <v/>
      </c>
      <c r="AK13" s="13">
        <f>IF(AJ13&gt;0,AF13/AJ13-1,0)</f>
        <v/>
      </c>
      <c r="AL13" s="13">
        <f>(AD13/1)^(12/($B13-5))-1</f>
        <v/>
      </c>
      <c r="AM13" s="11">
        <f>E13+N13+W13+AF13</f>
        <v/>
      </c>
      <c r="AN13" s="13">
        <f>AM13/AM12-1</f>
        <v/>
      </c>
      <c r="AO13" s="12">
        <f>MAX(AO12,AM13)</f>
        <v/>
      </c>
      <c r="AP13" s="13">
        <f>AM13/AO13-1</f>
        <v/>
      </c>
      <c r="AQ13" s="13">
        <f>(AM13/Calculator!$B$4)^(12/($B13-5))-1</f>
        <v/>
      </c>
      <c r="AR13" s="12">
        <f>G13+P13+Y13+AH13</f>
        <v/>
      </c>
    </row>
    <row r="14">
      <c r="A14" s="5" t="inlineStr">
        <is>
          <t>2004 Dec</t>
        </is>
      </c>
      <c r="B14" s="6">
        <f>'Year by year'!C14</f>
        <v/>
      </c>
      <c r="C14" s="22">
        <f>INDEX(Data!$C$1:$C$500,$B14)</f>
        <v/>
      </c>
      <c r="D14" s="22">
        <f>Calculator!$D$31</f>
        <v/>
      </c>
      <c r="E14" s="12">
        <f>D14*C14</f>
        <v/>
      </c>
      <c r="F14" s="12">
        <f>Calculator!$B$5/100*AM14</f>
        <v/>
      </c>
      <c r="G14" s="42">
        <f>F14-E14</f>
        <v/>
      </c>
      <c r="H14" s="13">
        <f>C14/C13-1</f>
        <v/>
      </c>
      <c r="I14" s="12">
        <f>MAX(I13,E14)</f>
        <v/>
      </c>
      <c r="J14" s="13">
        <f>IF(I14&gt;0,E14/I14-1,0)</f>
        <v/>
      </c>
      <c r="K14" s="13">
        <f>(C14/Data!$C$5)^(12/($B14-5))-1</f>
        <v/>
      </c>
      <c r="L14" s="22">
        <f>INDEX(Data!$G$1:$G$500,$B14)</f>
        <v/>
      </c>
      <c r="M14" s="22">
        <f>Calculator!$D$32</f>
        <v/>
      </c>
      <c r="N14" s="12">
        <f>M14*L14</f>
        <v/>
      </c>
      <c r="O14" s="12">
        <f>Calculator!$B$6/100*AM14</f>
        <v/>
      </c>
      <c r="P14" s="42">
        <f>O14-N14</f>
        <v/>
      </c>
      <c r="Q14" s="13">
        <f>L14/L13-1</f>
        <v/>
      </c>
      <c r="R14" s="12">
        <f>MAX(R13,N14)</f>
        <v/>
      </c>
      <c r="S14" s="13">
        <f>IF(R14&gt;0,N14/R14-1,0)</f>
        <v/>
      </c>
      <c r="T14" s="13">
        <f>(L14/Data!$G$5)^(12/($B14-5))-1</f>
        <v/>
      </c>
      <c r="U14" s="16">
        <f>INDEX(Monthly!$D$1:$D$500,$B14)</f>
        <v/>
      </c>
      <c r="V14" s="22">
        <f>Calculator!$B$33</f>
        <v/>
      </c>
      <c r="W14" s="12">
        <f>V14*U14</f>
        <v/>
      </c>
      <c r="X14" s="12">
        <f>Calculator!$B$7/100*AM14</f>
        <v/>
      </c>
      <c r="Y14" s="42">
        <f>X14-W14</f>
        <v/>
      </c>
      <c r="Z14" s="13">
        <f>U14/U13-1</f>
        <v/>
      </c>
      <c r="AA14" s="12">
        <f>MAX(AA13,W14)</f>
        <v/>
      </c>
      <c r="AB14" s="13">
        <f>IF(AA14&gt;0,W14/AA14-1,0)</f>
        <v/>
      </c>
      <c r="AC14" s="13">
        <f>(U14/1)^(12/($B14-5))-1</f>
        <v/>
      </c>
      <c r="AD14" s="16" t="n">
        <v>1</v>
      </c>
      <c r="AE14" s="22">
        <f>Calculator!$B$34</f>
        <v/>
      </c>
      <c r="AF14" s="12">
        <f>AE14*AD14</f>
        <v/>
      </c>
      <c r="AG14" s="12">
        <f>Calculator!$B$8/100*AM14</f>
        <v/>
      </c>
      <c r="AH14" s="42">
        <f>AG14-AF14</f>
        <v/>
      </c>
      <c r="AI14" s="13">
        <f>AD14/AD13-1</f>
        <v/>
      </c>
      <c r="AJ14" s="12">
        <f>MAX(AJ13,AF14)</f>
        <v/>
      </c>
      <c r="AK14" s="13">
        <f>IF(AJ14&gt;0,AF14/AJ14-1,0)</f>
        <v/>
      </c>
      <c r="AL14" s="13">
        <f>(AD14/1)^(12/($B14-5))-1</f>
        <v/>
      </c>
      <c r="AM14" s="11">
        <f>E14+N14+W14+AF14</f>
        <v/>
      </c>
      <c r="AN14" s="13">
        <f>AM14/AM13-1</f>
        <v/>
      </c>
      <c r="AO14" s="12">
        <f>MAX(AO13,AM14)</f>
        <v/>
      </c>
      <c r="AP14" s="13">
        <f>AM14/AO14-1</f>
        <v/>
      </c>
      <c r="AQ14" s="13">
        <f>(AM14/Calculator!$B$4)^(12/($B14-5))-1</f>
        <v/>
      </c>
      <c r="AR14" s="12">
        <f>G14+P14+Y14+AH14</f>
        <v/>
      </c>
    </row>
    <row r="15">
      <c r="A15" s="5" t="inlineStr">
        <is>
          <t>2005 Dec</t>
        </is>
      </c>
      <c r="B15" s="6">
        <f>'Year by year'!C15</f>
        <v/>
      </c>
      <c r="C15" s="22">
        <f>INDEX(Data!$C$1:$C$500,$B15)</f>
        <v/>
      </c>
      <c r="D15" s="22">
        <f>Calculator!$D$31</f>
        <v/>
      </c>
      <c r="E15" s="12">
        <f>D15*C15</f>
        <v/>
      </c>
      <c r="F15" s="12">
        <f>Calculator!$B$5/100*AM15</f>
        <v/>
      </c>
      <c r="G15" s="42">
        <f>F15-E15</f>
        <v/>
      </c>
      <c r="H15" s="13">
        <f>C15/C14-1</f>
        <v/>
      </c>
      <c r="I15" s="12">
        <f>MAX(I14,E15)</f>
        <v/>
      </c>
      <c r="J15" s="13">
        <f>IF(I15&gt;0,E15/I15-1,0)</f>
        <v/>
      </c>
      <c r="K15" s="13">
        <f>(C15/Data!$C$5)^(12/($B15-5))-1</f>
        <v/>
      </c>
      <c r="L15" s="22">
        <f>INDEX(Data!$G$1:$G$500,$B15)</f>
        <v/>
      </c>
      <c r="M15" s="22">
        <f>Calculator!$D$32</f>
        <v/>
      </c>
      <c r="N15" s="12">
        <f>M15*L15</f>
        <v/>
      </c>
      <c r="O15" s="12">
        <f>Calculator!$B$6/100*AM15</f>
        <v/>
      </c>
      <c r="P15" s="42">
        <f>O15-N15</f>
        <v/>
      </c>
      <c r="Q15" s="13">
        <f>L15/L14-1</f>
        <v/>
      </c>
      <c r="R15" s="12">
        <f>MAX(R14,N15)</f>
        <v/>
      </c>
      <c r="S15" s="13">
        <f>IF(R15&gt;0,N15/R15-1,0)</f>
        <v/>
      </c>
      <c r="T15" s="13">
        <f>(L15/Data!$G$5)^(12/($B15-5))-1</f>
        <v/>
      </c>
      <c r="U15" s="16">
        <f>INDEX(Monthly!$D$1:$D$500,$B15)</f>
        <v/>
      </c>
      <c r="V15" s="22">
        <f>Calculator!$B$33</f>
        <v/>
      </c>
      <c r="W15" s="12">
        <f>V15*U15</f>
        <v/>
      </c>
      <c r="X15" s="12">
        <f>Calculator!$B$7/100*AM15</f>
        <v/>
      </c>
      <c r="Y15" s="42">
        <f>X15-W15</f>
        <v/>
      </c>
      <c r="Z15" s="13">
        <f>U15/U14-1</f>
        <v/>
      </c>
      <c r="AA15" s="12">
        <f>MAX(AA14,W15)</f>
        <v/>
      </c>
      <c r="AB15" s="13">
        <f>IF(AA15&gt;0,W15/AA15-1,0)</f>
        <v/>
      </c>
      <c r="AC15" s="13">
        <f>(U15/1)^(12/($B15-5))-1</f>
        <v/>
      </c>
      <c r="AD15" s="16" t="n">
        <v>1</v>
      </c>
      <c r="AE15" s="22">
        <f>Calculator!$B$34</f>
        <v/>
      </c>
      <c r="AF15" s="12">
        <f>AE15*AD15</f>
        <v/>
      </c>
      <c r="AG15" s="12">
        <f>Calculator!$B$8/100*AM15</f>
        <v/>
      </c>
      <c r="AH15" s="42">
        <f>AG15-AF15</f>
        <v/>
      </c>
      <c r="AI15" s="13">
        <f>AD15/AD14-1</f>
        <v/>
      </c>
      <c r="AJ15" s="12">
        <f>MAX(AJ14,AF15)</f>
        <v/>
      </c>
      <c r="AK15" s="13">
        <f>IF(AJ15&gt;0,AF15/AJ15-1,0)</f>
        <v/>
      </c>
      <c r="AL15" s="13">
        <f>(AD15/1)^(12/($B15-5))-1</f>
        <v/>
      </c>
      <c r="AM15" s="11">
        <f>E15+N15+W15+AF15</f>
        <v/>
      </c>
      <c r="AN15" s="13">
        <f>AM15/AM14-1</f>
        <v/>
      </c>
      <c r="AO15" s="12">
        <f>MAX(AO14,AM15)</f>
        <v/>
      </c>
      <c r="AP15" s="13">
        <f>AM15/AO15-1</f>
        <v/>
      </c>
      <c r="AQ15" s="13">
        <f>(AM15/Calculator!$B$4)^(12/($B15-5))-1</f>
        <v/>
      </c>
      <c r="AR15" s="12">
        <f>G15+P15+Y15+AH15</f>
        <v/>
      </c>
    </row>
    <row r="16">
      <c r="A16" s="5" t="inlineStr">
        <is>
          <t>2006 Dec</t>
        </is>
      </c>
      <c r="B16" s="6">
        <f>'Year by year'!C16</f>
        <v/>
      </c>
      <c r="C16" s="22">
        <f>INDEX(Data!$C$1:$C$500,$B16)</f>
        <v/>
      </c>
      <c r="D16" s="22">
        <f>Calculator!$D$31</f>
        <v/>
      </c>
      <c r="E16" s="12">
        <f>D16*C16</f>
        <v/>
      </c>
      <c r="F16" s="12">
        <f>Calculator!$B$5/100*AM16</f>
        <v/>
      </c>
      <c r="G16" s="42">
        <f>F16-E16</f>
        <v/>
      </c>
      <c r="H16" s="13">
        <f>C16/C15-1</f>
        <v/>
      </c>
      <c r="I16" s="12">
        <f>MAX(I15,E16)</f>
        <v/>
      </c>
      <c r="J16" s="13">
        <f>IF(I16&gt;0,E16/I16-1,0)</f>
        <v/>
      </c>
      <c r="K16" s="13">
        <f>(C16/Data!$C$5)^(12/($B16-5))-1</f>
        <v/>
      </c>
      <c r="L16" s="22">
        <f>INDEX(Data!$G$1:$G$500,$B16)</f>
        <v/>
      </c>
      <c r="M16" s="22">
        <f>Calculator!$D$32</f>
        <v/>
      </c>
      <c r="N16" s="12">
        <f>M16*L16</f>
        <v/>
      </c>
      <c r="O16" s="12">
        <f>Calculator!$B$6/100*AM16</f>
        <v/>
      </c>
      <c r="P16" s="42">
        <f>O16-N16</f>
        <v/>
      </c>
      <c r="Q16" s="13">
        <f>L16/L15-1</f>
        <v/>
      </c>
      <c r="R16" s="12">
        <f>MAX(R15,N16)</f>
        <v/>
      </c>
      <c r="S16" s="13">
        <f>IF(R16&gt;0,N16/R16-1,0)</f>
        <v/>
      </c>
      <c r="T16" s="13">
        <f>(L16/Data!$G$5)^(12/($B16-5))-1</f>
        <v/>
      </c>
      <c r="U16" s="16">
        <f>INDEX(Monthly!$D$1:$D$500,$B16)</f>
        <v/>
      </c>
      <c r="V16" s="22">
        <f>Calculator!$B$33</f>
        <v/>
      </c>
      <c r="W16" s="12">
        <f>V16*U16</f>
        <v/>
      </c>
      <c r="X16" s="12">
        <f>Calculator!$B$7/100*AM16</f>
        <v/>
      </c>
      <c r="Y16" s="42">
        <f>X16-W16</f>
        <v/>
      </c>
      <c r="Z16" s="13">
        <f>U16/U15-1</f>
        <v/>
      </c>
      <c r="AA16" s="12">
        <f>MAX(AA15,W16)</f>
        <v/>
      </c>
      <c r="AB16" s="13">
        <f>IF(AA16&gt;0,W16/AA16-1,0)</f>
        <v/>
      </c>
      <c r="AC16" s="13">
        <f>(U16/1)^(12/($B16-5))-1</f>
        <v/>
      </c>
      <c r="AD16" s="16" t="n">
        <v>1</v>
      </c>
      <c r="AE16" s="22">
        <f>Calculator!$B$34</f>
        <v/>
      </c>
      <c r="AF16" s="12">
        <f>AE16*AD16</f>
        <v/>
      </c>
      <c r="AG16" s="12">
        <f>Calculator!$B$8/100*AM16</f>
        <v/>
      </c>
      <c r="AH16" s="42">
        <f>AG16-AF16</f>
        <v/>
      </c>
      <c r="AI16" s="13">
        <f>AD16/AD15-1</f>
        <v/>
      </c>
      <c r="AJ16" s="12">
        <f>MAX(AJ15,AF16)</f>
        <v/>
      </c>
      <c r="AK16" s="13">
        <f>IF(AJ16&gt;0,AF16/AJ16-1,0)</f>
        <v/>
      </c>
      <c r="AL16" s="13">
        <f>(AD16/1)^(12/($B16-5))-1</f>
        <v/>
      </c>
      <c r="AM16" s="11">
        <f>E16+N16+W16+AF16</f>
        <v/>
      </c>
      <c r="AN16" s="13">
        <f>AM16/AM15-1</f>
        <v/>
      </c>
      <c r="AO16" s="12">
        <f>MAX(AO15,AM16)</f>
        <v/>
      </c>
      <c r="AP16" s="13">
        <f>AM16/AO16-1</f>
        <v/>
      </c>
      <c r="AQ16" s="13">
        <f>(AM16/Calculator!$B$4)^(12/($B16-5))-1</f>
        <v/>
      </c>
      <c r="AR16" s="12">
        <f>G16+P16+Y16+AH16</f>
        <v/>
      </c>
    </row>
    <row r="17">
      <c r="A17" s="5" t="inlineStr">
        <is>
          <t>2007 Dec</t>
        </is>
      </c>
      <c r="B17" s="6">
        <f>'Year by year'!C17</f>
        <v/>
      </c>
      <c r="C17" s="22">
        <f>INDEX(Data!$C$1:$C$500,$B17)</f>
        <v/>
      </c>
      <c r="D17" s="22">
        <f>Calculator!$D$31</f>
        <v/>
      </c>
      <c r="E17" s="12">
        <f>D17*C17</f>
        <v/>
      </c>
      <c r="F17" s="12">
        <f>Calculator!$B$5/100*AM17</f>
        <v/>
      </c>
      <c r="G17" s="42">
        <f>F17-E17</f>
        <v/>
      </c>
      <c r="H17" s="13">
        <f>C17/C16-1</f>
        <v/>
      </c>
      <c r="I17" s="12">
        <f>MAX(I16,E17)</f>
        <v/>
      </c>
      <c r="J17" s="13">
        <f>IF(I17&gt;0,E17/I17-1,0)</f>
        <v/>
      </c>
      <c r="K17" s="13">
        <f>(C17/Data!$C$5)^(12/($B17-5))-1</f>
        <v/>
      </c>
      <c r="L17" s="22">
        <f>INDEX(Data!$G$1:$G$500,$B17)</f>
        <v/>
      </c>
      <c r="M17" s="22">
        <f>Calculator!$D$32</f>
        <v/>
      </c>
      <c r="N17" s="12">
        <f>M17*L17</f>
        <v/>
      </c>
      <c r="O17" s="12">
        <f>Calculator!$B$6/100*AM17</f>
        <v/>
      </c>
      <c r="P17" s="42">
        <f>O17-N17</f>
        <v/>
      </c>
      <c r="Q17" s="13">
        <f>L17/L16-1</f>
        <v/>
      </c>
      <c r="R17" s="12">
        <f>MAX(R16,N17)</f>
        <v/>
      </c>
      <c r="S17" s="13">
        <f>IF(R17&gt;0,N17/R17-1,0)</f>
        <v/>
      </c>
      <c r="T17" s="13">
        <f>(L17/Data!$G$5)^(12/($B17-5))-1</f>
        <v/>
      </c>
      <c r="U17" s="16">
        <f>INDEX(Monthly!$D$1:$D$500,$B17)</f>
        <v/>
      </c>
      <c r="V17" s="22">
        <f>Calculator!$B$33</f>
        <v/>
      </c>
      <c r="W17" s="12">
        <f>V17*U17</f>
        <v/>
      </c>
      <c r="X17" s="12">
        <f>Calculator!$B$7/100*AM17</f>
        <v/>
      </c>
      <c r="Y17" s="42">
        <f>X17-W17</f>
        <v/>
      </c>
      <c r="Z17" s="13">
        <f>U17/U16-1</f>
        <v/>
      </c>
      <c r="AA17" s="12">
        <f>MAX(AA16,W17)</f>
        <v/>
      </c>
      <c r="AB17" s="13">
        <f>IF(AA17&gt;0,W17/AA17-1,0)</f>
        <v/>
      </c>
      <c r="AC17" s="13">
        <f>(U17/1)^(12/($B17-5))-1</f>
        <v/>
      </c>
      <c r="AD17" s="16" t="n">
        <v>1</v>
      </c>
      <c r="AE17" s="22">
        <f>Calculator!$B$34</f>
        <v/>
      </c>
      <c r="AF17" s="12">
        <f>AE17*AD17</f>
        <v/>
      </c>
      <c r="AG17" s="12">
        <f>Calculator!$B$8/100*AM17</f>
        <v/>
      </c>
      <c r="AH17" s="42">
        <f>AG17-AF17</f>
        <v/>
      </c>
      <c r="AI17" s="13">
        <f>AD17/AD16-1</f>
        <v/>
      </c>
      <c r="AJ17" s="12">
        <f>MAX(AJ16,AF17)</f>
        <v/>
      </c>
      <c r="AK17" s="13">
        <f>IF(AJ17&gt;0,AF17/AJ17-1,0)</f>
        <v/>
      </c>
      <c r="AL17" s="13">
        <f>(AD17/1)^(12/($B17-5))-1</f>
        <v/>
      </c>
      <c r="AM17" s="11">
        <f>E17+N17+W17+AF17</f>
        <v/>
      </c>
      <c r="AN17" s="13">
        <f>AM17/AM16-1</f>
        <v/>
      </c>
      <c r="AO17" s="12">
        <f>MAX(AO16,AM17)</f>
        <v/>
      </c>
      <c r="AP17" s="13">
        <f>AM17/AO17-1</f>
        <v/>
      </c>
      <c r="AQ17" s="13">
        <f>(AM17/Calculator!$B$4)^(12/($B17-5))-1</f>
        <v/>
      </c>
      <c r="AR17" s="12">
        <f>G17+P17+Y17+AH17</f>
        <v/>
      </c>
    </row>
    <row r="18">
      <c r="A18" s="5" t="inlineStr">
        <is>
          <t>2008 Dec</t>
        </is>
      </c>
      <c r="B18" s="6">
        <f>'Year by year'!C18</f>
        <v/>
      </c>
      <c r="C18" s="22">
        <f>INDEX(Data!$C$1:$C$500,$B18)</f>
        <v/>
      </c>
      <c r="D18" s="22">
        <f>Calculator!$D$31</f>
        <v/>
      </c>
      <c r="E18" s="12">
        <f>D18*C18</f>
        <v/>
      </c>
      <c r="F18" s="12">
        <f>Calculator!$B$5/100*AM18</f>
        <v/>
      </c>
      <c r="G18" s="42">
        <f>F18-E18</f>
        <v/>
      </c>
      <c r="H18" s="13">
        <f>C18/C17-1</f>
        <v/>
      </c>
      <c r="I18" s="12">
        <f>MAX(I17,E18)</f>
        <v/>
      </c>
      <c r="J18" s="13">
        <f>IF(I18&gt;0,E18/I18-1,0)</f>
        <v/>
      </c>
      <c r="K18" s="13">
        <f>(C18/Data!$C$5)^(12/($B18-5))-1</f>
        <v/>
      </c>
      <c r="L18" s="22">
        <f>INDEX(Data!$G$1:$G$500,$B18)</f>
        <v/>
      </c>
      <c r="M18" s="22">
        <f>Calculator!$D$32</f>
        <v/>
      </c>
      <c r="N18" s="12">
        <f>M18*L18</f>
        <v/>
      </c>
      <c r="O18" s="12">
        <f>Calculator!$B$6/100*AM18</f>
        <v/>
      </c>
      <c r="P18" s="42">
        <f>O18-N18</f>
        <v/>
      </c>
      <c r="Q18" s="13">
        <f>L18/L17-1</f>
        <v/>
      </c>
      <c r="R18" s="12">
        <f>MAX(R17,N18)</f>
        <v/>
      </c>
      <c r="S18" s="13">
        <f>IF(R18&gt;0,N18/R18-1,0)</f>
        <v/>
      </c>
      <c r="T18" s="13">
        <f>(L18/Data!$G$5)^(12/($B18-5))-1</f>
        <v/>
      </c>
      <c r="U18" s="16">
        <f>INDEX(Monthly!$D$1:$D$500,$B18)</f>
        <v/>
      </c>
      <c r="V18" s="22">
        <f>Calculator!$B$33</f>
        <v/>
      </c>
      <c r="W18" s="12">
        <f>V18*U18</f>
        <v/>
      </c>
      <c r="X18" s="12">
        <f>Calculator!$B$7/100*AM18</f>
        <v/>
      </c>
      <c r="Y18" s="42">
        <f>X18-W18</f>
        <v/>
      </c>
      <c r="Z18" s="13">
        <f>U18/U17-1</f>
        <v/>
      </c>
      <c r="AA18" s="12">
        <f>MAX(AA17,W18)</f>
        <v/>
      </c>
      <c r="AB18" s="13">
        <f>IF(AA18&gt;0,W18/AA18-1,0)</f>
        <v/>
      </c>
      <c r="AC18" s="13">
        <f>(U18/1)^(12/($B18-5))-1</f>
        <v/>
      </c>
      <c r="AD18" s="16" t="n">
        <v>1</v>
      </c>
      <c r="AE18" s="22">
        <f>Calculator!$B$34</f>
        <v/>
      </c>
      <c r="AF18" s="12">
        <f>AE18*AD18</f>
        <v/>
      </c>
      <c r="AG18" s="12">
        <f>Calculator!$B$8/100*AM18</f>
        <v/>
      </c>
      <c r="AH18" s="42">
        <f>AG18-AF18</f>
        <v/>
      </c>
      <c r="AI18" s="13">
        <f>AD18/AD17-1</f>
        <v/>
      </c>
      <c r="AJ18" s="12">
        <f>MAX(AJ17,AF18)</f>
        <v/>
      </c>
      <c r="AK18" s="13">
        <f>IF(AJ18&gt;0,AF18/AJ18-1,0)</f>
        <v/>
      </c>
      <c r="AL18" s="13">
        <f>(AD18/1)^(12/($B18-5))-1</f>
        <v/>
      </c>
      <c r="AM18" s="11">
        <f>E18+N18+W18+AF18</f>
        <v/>
      </c>
      <c r="AN18" s="13">
        <f>AM18/AM17-1</f>
        <v/>
      </c>
      <c r="AO18" s="12">
        <f>MAX(AO17,AM18)</f>
        <v/>
      </c>
      <c r="AP18" s="13">
        <f>AM18/AO18-1</f>
        <v/>
      </c>
      <c r="AQ18" s="13">
        <f>(AM18/Calculator!$B$4)^(12/($B18-5))-1</f>
        <v/>
      </c>
      <c r="AR18" s="12">
        <f>G18+P18+Y18+AH18</f>
        <v/>
      </c>
    </row>
    <row r="19">
      <c r="A19" s="5" t="inlineStr">
        <is>
          <t>2009 Dec</t>
        </is>
      </c>
      <c r="B19" s="6">
        <f>'Year by year'!C19</f>
        <v/>
      </c>
      <c r="C19" s="22">
        <f>INDEX(Data!$C$1:$C$500,$B19)</f>
        <v/>
      </c>
      <c r="D19" s="22">
        <f>Calculator!$D$31</f>
        <v/>
      </c>
      <c r="E19" s="12">
        <f>D19*C19</f>
        <v/>
      </c>
      <c r="F19" s="12">
        <f>Calculator!$B$5/100*AM19</f>
        <v/>
      </c>
      <c r="G19" s="42">
        <f>F19-E19</f>
        <v/>
      </c>
      <c r="H19" s="13">
        <f>C19/C18-1</f>
        <v/>
      </c>
      <c r="I19" s="12">
        <f>MAX(I18,E19)</f>
        <v/>
      </c>
      <c r="J19" s="13">
        <f>IF(I19&gt;0,E19/I19-1,0)</f>
        <v/>
      </c>
      <c r="K19" s="13">
        <f>(C19/Data!$C$5)^(12/($B19-5))-1</f>
        <v/>
      </c>
      <c r="L19" s="22">
        <f>INDEX(Data!$G$1:$G$500,$B19)</f>
        <v/>
      </c>
      <c r="M19" s="22">
        <f>Calculator!$D$32</f>
        <v/>
      </c>
      <c r="N19" s="12">
        <f>M19*L19</f>
        <v/>
      </c>
      <c r="O19" s="12">
        <f>Calculator!$B$6/100*AM19</f>
        <v/>
      </c>
      <c r="P19" s="42">
        <f>O19-N19</f>
        <v/>
      </c>
      <c r="Q19" s="13">
        <f>L19/L18-1</f>
        <v/>
      </c>
      <c r="R19" s="12">
        <f>MAX(R18,N19)</f>
        <v/>
      </c>
      <c r="S19" s="13">
        <f>IF(R19&gt;0,N19/R19-1,0)</f>
        <v/>
      </c>
      <c r="T19" s="13">
        <f>(L19/Data!$G$5)^(12/($B19-5))-1</f>
        <v/>
      </c>
      <c r="U19" s="16">
        <f>INDEX(Monthly!$D$1:$D$500,$B19)</f>
        <v/>
      </c>
      <c r="V19" s="22">
        <f>Calculator!$B$33</f>
        <v/>
      </c>
      <c r="W19" s="12">
        <f>V19*U19</f>
        <v/>
      </c>
      <c r="X19" s="12">
        <f>Calculator!$B$7/100*AM19</f>
        <v/>
      </c>
      <c r="Y19" s="42">
        <f>X19-W19</f>
        <v/>
      </c>
      <c r="Z19" s="13">
        <f>U19/U18-1</f>
        <v/>
      </c>
      <c r="AA19" s="12">
        <f>MAX(AA18,W19)</f>
        <v/>
      </c>
      <c r="AB19" s="13">
        <f>IF(AA19&gt;0,W19/AA19-1,0)</f>
        <v/>
      </c>
      <c r="AC19" s="13">
        <f>(U19/1)^(12/($B19-5))-1</f>
        <v/>
      </c>
      <c r="AD19" s="16" t="n">
        <v>1</v>
      </c>
      <c r="AE19" s="22">
        <f>Calculator!$B$34</f>
        <v/>
      </c>
      <c r="AF19" s="12">
        <f>AE19*AD19</f>
        <v/>
      </c>
      <c r="AG19" s="12">
        <f>Calculator!$B$8/100*AM19</f>
        <v/>
      </c>
      <c r="AH19" s="42">
        <f>AG19-AF19</f>
        <v/>
      </c>
      <c r="AI19" s="13">
        <f>AD19/AD18-1</f>
        <v/>
      </c>
      <c r="AJ19" s="12">
        <f>MAX(AJ18,AF19)</f>
        <v/>
      </c>
      <c r="AK19" s="13">
        <f>IF(AJ19&gt;0,AF19/AJ19-1,0)</f>
        <v/>
      </c>
      <c r="AL19" s="13">
        <f>(AD19/1)^(12/($B19-5))-1</f>
        <v/>
      </c>
      <c r="AM19" s="11">
        <f>E19+N19+W19+AF19</f>
        <v/>
      </c>
      <c r="AN19" s="13">
        <f>AM19/AM18-1</f>
        <v/>
      </c>
      <c r="AO19" s="12">
        <f>MAX(AO18,AM19)</f>
        <v/>
      </c>
      <c r="AP19" s="13">
        <f>AM19/AO19-1</f>
        <v/>
      </c>
      <c r="AQ19" s="13">
        <f>(AM19/Calculator!$B$4)^(12/($B19-5))-1</f>
        <v/>
      </c>
      <c r="AR19" s="12">
        <f>G19+P19+Y19+AH19</f>
        <v/>
      </c>
    </row>
    <row r="20">
      <c r="A20" s="5" t="inlineStr">
        <is>
          <t>2010 Dec</t>
        </is>
      </c>
      <c r="B20" s="6">
        <f>'Year by year'!C20</f>
        <v/>
      </c>
      <c r="C20" s="22">
        <f>INDEX(Data!$C$1:$C$500,$B20)</f>
        <v/>
      </c>
      <c r="D20" s="22">
        <f>Calculator!$D$31</f>
        <v/>
      </c>
      <c r="E20" s="12">
        <f>D20*C20</f>
        <v/>
      </c>
      <c r="F20" s="12">
        <f>Calculator!$B$5/100*AM20</f>
        <v/>
      </c>
      <c r="G20" s="42">
        <f>F20-E20</f>
        <v/>
      </c>
      <c r="H20" s="13">
        <f>C20/C19-1</f>
        <v/>
      </c>
      <c r="I20" s="12">
        <f>MAX(I19,E20)</f>
        <v/>
      </c>
      <c r="J20" s="13">
        <f>IF(I20&gt;0,E20/I20-1,0)</f>
        <v/>
      </c>
      <c r="K20" s="13">
        <f>(C20/Data!$C$5)^(12/($B20-5))-1</f>
        <v/>
      </c>
      <c r="L20" s="22">
        <f>INDEX(Data!$G$1:$G$500,$B20)</f>
        <v/>
      </c>
      <c r="M20" s="22">
        <f>Calculator!$D$32</f>
        <v/>
      </c>
      <c r="N20" s="12">
        <f>M20*L20</f>
        <v/>
      </c>
      <c r="O20" s="12">
        <f>Calculator!$B$6/100*AM20</f>
        <v/>
      </c>
      <c r="P20" s="42">
        <f>O20-N20</f>
        <v/>
      </c>
      <c r="Q20" s="13">
        <f>L20/L19-1</f>
        <v/>
      </c>
      <c r="R20" s="12">
        <f>MAX(R19,N20)</f>
        <v/>
      </c>
      <c r="S20" s="13">
        <f>IF(R20&gt;0,N20/R20-1,0)</f>
        <v/>
      </c>
      <c r="T20" s="13">
        <f>(L20/Data!$G$5)^(12/($B20-5))-1</f>
        <v/>
      </c>
      <c r="U20" s="16">
        <f>INDEX(Monthly!$D$1:$D$500,$B20)</f>
        <v/>
      </c>
      <c r="V20" s="22">
        <f>Calculator!$B$33</f>
        <v/>
      </c>
      <c r="W20" s="12">
        <f>V20*U20</f>
        <v/>
      </c>
      <c r="X20" s="12">
        <f>Calculator!$B$7/100*AM20</f>
        <v/>
      </c>
      <c r="Y20" s="42">
        <f>X20-W20</f>
        <v/>
      </c>
      <c r="Z20" s="13">
        <f>U20/U19-1</f>
        <v/>
      </c>
      <c r="AA20" s="12">
        <f>MAX(AA19,W20)</f>
        <v/>
      </c>
      <c r="AB20" s="13">
        <f>IF(AA20&gt;0,W20/AA20-1,0)</f>
        <v/>
      </c>
      <c r="AC20" s="13">
        <f>(U20/1)^(12/($B20-5))-1</f>
        <v/>
      </c>
      <c r="AD20" s="16" t="n">
        <v>1</v>
      </c>
      <c r="AE20" s="22">
        <f>Calculator!$B$34</f>
        <v/>
      </c>
      <c r="AF20" s="12">
        <f>AE20*AD20</f>
        <v/>
      </c>
      <c r="AG20" s="12">
        <f>Calculator!$B$8/100*AM20</f>
        <v/>
      </c>
      <c r="AH20" s="42">
        <f>AG20-AF20</f>
        <v/>
      </c>
      <c r="AI20" s="13">
        <f>AD20/AD19-1</f>
        <v/>
      </c>
      <c r="AJ20" s="12">
        <f>MAX(AJ19,AF20)</f>
        <v/>
      </c>
      <c r="AK20" s="13">
        <f>IF(AJ20&gt;0,AF20/AJ20-1,0)</f>
        <v/>
      </c>
      <c r="AL20" s="13">
        <f>(AD20/1)^(12/($B20-5))-1</f>
        <v/>
      </c>
      <c r="AM20" s="11">
        <f>E20+N20+W20+AF20</f>
        <v/>
      </c>
      <c r="AN20" s="13">
        <f>AM20/AM19-1</f>
        <v/>
      </c>
      <c r="AO20" s="12">
        <f>MAX(AO19,AM20)</f>
        <v/>
      </c>
      <c r="AP20" s="13">
        <f>AM20/AO20-1</f>
        <v/>
      </c>
      <c r="AQ20" s="13">
        <f>(AM20/Calculator!$B$4)^(12/($B20-5))-1</f>
        <v/>
      </c>
      <c r="AR20" s="12">
        <f>G20+P20+Y20+AH20</f>
        <v/>
      </c>
    </row>
    <row r="21">
      <c r="A21" s="5" t="inlineStr">
        <is>
          <t>2011 Dec</t>
        </is>
      </c>
      <c r="B21" s="6">
        <f>'Year by year'!C21</f>
        <v/>
      </c>
      <c r="C21" s="22">
        <f>INDEX(Data!$C$1:$C$500,$B21)</f>
        <v/>
      </c>
      <c r="D21" s="22">
        <f>Calculator!$D$31</f>
        <v/>
      </c>
      <c r="E21" s="12">
        <f>D21*C21</f>
        <v/>
      </c>
      <c r="F21" s="12">
        <f>Calculator!$B$5/100*AM21</f>
        <v/>
      </c>
      <c r="G21" s="42">
        <f>F21-E21</f>
        <v/>
      </c>
      <c r="H21" s="13">
        <f>C21/C20-1</f>
        <v/>
      </c>
      <c r="I21" s="12">
        <f>MAX(I20,E21)</f>
        <v/>
      </c>
      <c r="J21" s="13">
        <f>IF(I21&gt;0,E21/I21-1,0)</f>
        <v/>
      </c>
      <c r="K21" s="13">
        <f>(C21/Data!$C$5)^(12/($B21-5))-1</f>
        <v/>
      </c>
      <c r="L21" s="22">
        <f>INDEX(Data!$G$1:$G$500,$B21)</f>
        <v/>
      </c>
      <c r="M21" s="22">
        <f>Calculator!$D$32</f>
        <v/>
      </c>
      <c r="N21" s="12">
        <f>M21*L21</f>
        <v/>
      </c>
      <c r="O21" s="12">
        <f>Calculator!$B$6/100*AM21</f>
        <v/>
      </c>
      <c r="P21" s="42">
        <f>O21-N21</f>
        <v/>
      </c>
      <c r="Q21" s="13">
        <f>L21/L20-1</f>
        <v/>
      </c>
      <c r="R21" s="12">
        <f>MAX(R20,N21)</f>
        <v/>
      </c>
      <c r="S21" s="13">
        <f>IF(R21&gt;0,N21/R21-1,0)</f>
        <v/>
      </c>
      <c r="T21" s="13">
        <f>(L21/Data!$G$5)^(12/($B21-5))-1</f>
        <v/>
      </c>
      <c r="U21" s="16">
        <f>INDEX(Monthly!$D$1:$D$500,$B21)</f>
        <v/>
      </c>
      <c r="V21" s="22">
        <f>Calculator!$B$33</f>
        <v/>
      </c>
      <c r="W21" s="12">
        <f>V21*U21</f>
        <v/>
      </c>
      <c r="X21" s="12">
        <f>Calculator!$B$7/100*AM21</f>
        <v/>
      </c>
      <c r="Y21" s="42">
        <f>X21-W21</f>
        <v/>
      </c>
      <c r="Z21" s="13">
        <f>U21/U20-1</f>
        <v/>
      </c>
      <c r="AA21" s="12">
        <f>MAX(AA20,W21)</f>
        <v/>
      </c>
      <c r="AB21" s="13">
        <f>IF(AA21&gt;0,W21/AA21-1,0)</f>
        <v/>
      </c>
      <c r="AC21" s="13">
        <f>(U21/1)^(12/($B21-5))-1</f>
        <v/>
      </c>
      <c r="AD21" s="16" t="n">
        <v>1</v>
      </c>
      <c r="AE21" s="22">
        <f>Calculator!$B$34</f>
        <v/>
      </c>
      <c r="AF21" s="12">
        <f>AE21*AD21</f>
        <v/>
      </c>
      <c r="AG21" s="12">
        <f>Calculator!$B$8/100*AM21</f>
        <v/>
      </c>
      <c r="AH21" s="42">
        <f>AG21-AF21</f>
        <v/>
      </c>
      <c r="AI21" s="13">
        <f>AD21/AD20-1</f>
        <v/>
      </c>
      <c r="AJ21" s="12">
        <f>MAX(AJ20,AF21)</f>
        <v/>
      </c>
      <c r="AK21" s="13">
        <f>IF(AJ21&gt;0,AF21/AJ21-1,0)</f>
        <v/>
      </c>
      <c r="AL21" s="13">
        <f>(AD21/1)^(12/($B21-5))-1</f>
        <v/>
      </c>
      <c r="AM21" s="11">
        <f>E21+N21+W21+AF21</f>
        <v/>
      </c>
      <c r="AN21" s="13">
        <f>AM21/AM20-1</f>
        <v/>
      </c>
      <c r="AO21" s="12">
        <f>MAX(AO20,AM21)</f>
        <v/>
      </c>
      <c r="AP21" s="13">
        <f>AM21/AO21-1</f>
        <v/>
      </c>
      <c r="AQ21" s="13">
        <f>(AM21/Calculator!$B$4)^(12/($B21-5))-1</f>
        <v/>
      </c>
      <c r="AR21" s="12">
        <f>G21+P21+Y21+AH21</f>
        <v/>
      </c>
    </row>
    <row r="22">
      <c r="A22" s="5" t="inlineStr">
        <is>
          <t>2012 Dec</t>
        </is>
      </c>
      <c r="B22" s="6">
        <f>'Year by year'!C22</f>
        <v/>
      </c>
      <c r="C22" s="22">
        <f>INDEX(Data!$C$1:$C$500,$B22)</f>
        <v/>
      </c>
      <c r="D22" s="22">
        <f>Calculator!$D$31</f>
        <v/>
      </c>
      <c r="E22" s="12">
        <f>D22*C22</f>
        <v/>
      </c>
      <c r="F22" s="12">
        <f>Calculator!$B$5/100*AM22</f>
        <v/>
      </c>
      <c r="G22" s="42">
        <f>F22-E22</f>
        <v/>
      </c>
      <c r="H22" s="13">
        <f>C22/C21-1</f>
        <v/>
      </c>
      <c r="I22" s="12">
        <f>MAX(I21,E22)</f>
        <v/>
      </c>
      <c r="J22" s="13">
        <f>IF(I22&gt;0,E22/I22-1,0)</f>
        <v/>
      </c>
      <c r="K22" s="13">
        <f>(C22/Data!$C$5)^(12/($B22-5))-1</f>
        <v/>
      </c>
      <c r="L22" s="22">
        <f>INDEX(Data!$G$1:$G$500,$B22)</f>
        <v/>
      </c>
      <c r="M22" s="22">
        <f>Calculator!$D$32</f>
        <v/>
      </c>
      <c r="N22" s="12">
        <f>M22*L22</f>
        <v/>
      </c>
      <c r="O22" s="12">
        <f>Calculator!$B$6/100*AM22</f>
        <v/>
      </c>
      <c r="P22" s="42">
        <f>O22-N22</f>
        <v/>
      </c>
      <c r="Q22" s="13">
        <f>L22/L21-1</f>
        <v/>
      </c>
      <c r="R22" s="12">
        <f>MAX(R21,N22)</f>
        <v/>
      </c>
      <c r="S22" s="13">
        <f>IF(R22&gt;0,N22/R22-1,0)</f>
        <v/>
      </c>
      <c r="T22" s="13">
        <f>(L22/Data!$G$5)^(12/($B22-5))-1</f>
        <v/>
      </c>
      <c r="U22" s="16">
        <f>INDEX(Monthly!$D$1:$D$500,$B22)</f>
        <v/>
      </c>
      <c r="V22" s="22">
        <f>Calculator!$B$33</f>
        <v/>
      </c>
      <c r="W22" s="12">
        <f>V22*U22</f>
        <v/>
      </c>
      <c r="X22" s="12">
        <f>Calculator!$B$7/100*AM22</f>
        <v/>
      </c>
      <c r="Y22" s="42">
        <f>X22-W22</f>
        <v/>
      </c>
      <c r="Z22" s="13">
        <f>U22/U21-1</f>
        <v/>
      </c>
      <c r="AA22" s="12">
        <f>MAX(AA21,W22)</f>
        <v/>
      </c>
      <c r="AB22" s="13">
        <f>IF(AA22&gt;0,W22/AA22-1,0)</f>
        <v/>
      </c>
      <c r="AC22" s="13">
        <f>(U22/1)^(12/($B22-5))-1</f>
        <v/>
      </c>
      <c r="AD22" s="16" t="n">
        <v>1</v>
      </c>
      <c r="AE22" s="22">
        <f>Calculator!$B$34</f>
        <v/>
      </c>
      <c r="AF22" s="12">
        <f>AE22*AD22</f>
        <v/>
      </c>
      <c r="AG22" s="12">
        <f>Calculator!$B$8/100*AM22</f>
        <v/>
      </c>
      <c r="AH22" s="42">
        <f>AG22-AF22</f>
        <v/>
      </c>
      <c r="AI22" s="13">
        <f>AD22/AD21-1</f>
        <v/>
      </c>
      <c r="AJ22" s="12">
        <f>MAX(AJ21,AF22)</f>
        <v/>
      </c>
      <c r="AK22" s="13">
        <f>IF(AJ22&gt;0,AF22/AJ22-1,0)</f>
        <v/>
      </c>
      <c r="AL22" s="13">
        <f>(AD22/1)^(12/($B22-5))-1</f>
        <v/>
      </c>
      <c r="AM22" s="11">
        <f>E22+N22+W22+AF22</f>
        <v/>
      </c>
      <c r="AN22" s="13">
        <f>AM22/AM21-1</f>
        <v/>
      </c>
      <c r="AO22" s="12">
        <f>MAX(AO21,AM22)</f>
        <v/>
      </c>
      <c r="AP22" s="13">
        <f>AM22/AO22-1</f>
        <v/>
      </c>
      <c r="AQ22" s="13">
        <f>(AM22/Calculator!$B$4)^(12/($B22-5))-1</f>
        <v/>
      </c>
      <c r="AR22" s="12">
        <f>G22+P22+Y22+AH22</f>
        <v/>
      </c>
    </row>
    <row r="23">
      <c r="A23" s="5" t="inlineStr">
        <is>
          <t>2013 Dec</t>
        </is>
      </c>
      <c r="B23" s="6">
        <f>'Year by year'!C23</f>
        <v/>
      </c>
      <c r="C23" s="22">
        <f>INDEX(Data!$C$1:$C$500,$B23)</f>
        <v/>
      </c>
      <c r="D23" s="22">
        <f>Calculator!$D$31</f>
        <v/>
      </c>
      <c r="E23" s="12">
        <f>D23*C23</f>
        <v/>
      </c>
      <c r="F23" s="12">
        <f>Calculator!$B$5/100*AM23</f>
        <v/>
      </c>
      <c r="G23" s="42">
        <f>F23-E23</f>
        <v/>
      </c>
      <c r="H23" s="13">
        <f>C23/C22-1</f>
        <v/>
      </c>
      <c r="I23" s="12">
        <f>MAX(I22,E23)</f>
        <v/>
      </c>
      <c r="J23" s="13">
        <f>IF(I23&gt;0,E23/I23-1,0)</f>
        <v/>
      </c>
      <c r="K23" s="13">
        <f>(C23/Data!$C$5)^(12/($B23-5))-1</f>
        <v/>
      </c>
      <c r="L23" s="22">
        <f>INDEX(Data!$G$1:$G$500,$B23)</f>
        <v/>
      </c>
      <c r="M23" s="22">
        <f>Calculator!$D$32</f>
        <v/>
      </c>
      <c r="N23" s="12">
        <f>M23*L23</f>
        <v/>
      </c>
      <c r="O23" s="12">
        <f>Calculator!$B$6/100*AM23</f>
        <v/>
      </c>
      <c r="P23" s="42">
        <f>O23-N23</f>
        <v/>
      </c>
      <c r="Q23" s="13">
        <f>L23/L22-1</f>
        <v/>
      </c>
      <c r="R23" s="12">
        <f>MAX(R22,N23)</f>
        <v/>
      </c>
      <c r="S23" s="13">
        <f>IF(R23&gt;0,N23/R23-1,0)</f>
        <v/>
      </c>
      <c r="T23" s="13">
        <f>(L23/Data!$G$5)^(12/($B23-5))-1</f>
        <v/>
      </c>
      <c r="U23" s="16">
        <f>INDEX(Monthly!$D$1:$D$500,$B23)</f>
        <v/>
      </c>
      <c r="V23" s="22">
        <f>Calculator!$B$33</f>
        <v/>
      </c>
      <c r="W23" s="12">
        <f>V23*U23</f>
        <v/>
      </c>
      <c r="X23" s="12">
        <f>Calculator!$B$7/100*AM23</f>
        <v/>
      </c>
      <c r="Y23" s="42">
        <f>X23-W23</f>
        <v/>
      </c>
      <c r="Z23" s="13">
        <f>U23/U22-1</f>
        <v/>
      </c>
      <c r="AA23" s="12">
        <f>MAX(AA22,W23)</f>
        <v/>
      </c>
      <c r="AB23" s="13">
        <f>IF(AA23&gt;0,W23/AA23-1,0)</f>
        <v/>
      </c>
      <c r="AC23" s="13">
        <f>(U23/1)^(12/($B23-5))-1</f>
        <v/>
      </c>
      <c r="AD23" s="16" t="n">
        <v>1</v>
      </c>
      <c r="AE23" s="22">
        <f>Calculator!$B$34</f>
        <v/>
      </c>
      <c r="AF23" s="12">
        <f>AE23*AD23</f>
        <v/>
      </c>
      <c r="AG23" s="12">
        <f>Calculator!$B$8/100*AM23</f>
        <v/>
      </c>
      <c r="AH23" s="42">
        <f>AG23-AF23</f>
        <v/>
      </c>
      <c r="AI23" s="13">
        <f>AD23/AD22-1</f>
        <v/>
      </c>
      <c r="AJ23" s="12">
        <f>MAX(AJ22,AF23)</f>
        <v/>
      </c>
      <c r="AK23" s="13">
        <f>IF(AJ23&gt;0,AF23/AJ23-1,0)</f>
        <v/>
      </c>
      <c r="AL23" s="13">
        <f>(AD23/1)^(12/($B23-5))-1</f>
        <v/>
      </c>
      <c r="AM23" s="11">
        <f>E23+N23+W23+AF23</f>
        <v/>
      </c>
      <c r="AN23" s="13">
        <f>AM23/AM22-1</f>
        <v/>
      </c>
      <c r="AO23" s="12">
        <f>MAX(AO22,AM23)</f>
        <v/>
      </c>
      <c r="AP23" s="13">
        <f>AM23/AO23-1</f>
        <v/>
      </c>
      <c r="AQ23" s="13">
        <f>(AM23/Calculator!$B$4)^(12/($B23-5))-1</f>
        <v/>
      </c>
      <c r="AR23" s="12">
        <f>G23+P23+Y23+AH23</f>
        <v/>
      </c>
    </row>
    <row r="24">
      <c r="A24" s="5" t="inlineStr">
        <is>
          <t>2014 Dec</t>
        </is>
      </c>
      <c r="B24" s="6">
        <f>'Year by year'!C24</f>
        <v/>
      </c>
      <c r="C24" s="22">
        <f>INDEX(Data!$C$1:$C$500,$B24)</f>
        <v/>
      </c>
      <c r="D24" s="22">
        <f>Calculator!$D$31</f>
        <v/>
      </c>
      <c r="E24" s="12">
        <f>D24*C24</f>
        <v/>
      </c>
      <c r="F24" s="12">
        <f>Calculator!$B$5/100*AM24</f>
        <v/>
      </c>
      <c r="G24" s="42">
        <f>F24-E24</f>
        <v/>
      </c>
      <c r="H24" s="13">
        <f>C24/C23-1</f>
        <v/>
      </c>
      <c r="I24" s="12">
        <f>MAX(I23,E24)</f>
        <v/>
      </c>
      <c r="J24" s="13">
        <f>IF(I24&gt;0,E24/I24-1,0)</f>
        <v/>
      </c>
      <c r="K24" s="13">
        <f>(C24/Data!$C$5)^(12/($B24-5))-1</f>
        <v/>
      </c>
      <c r="L24" s="22">
        <f>INDEX(Data!$G$1:$G$500,$B24)</f>
        <v/>
      </c>
      <c r="M24" s="22">
        <f>Calculator!$D$32</f>
        <v/>
      </c>
      <c r="N24" s="12">
        <f>M24*L24</f>
        <v/>
      </c>
      <c r="O24" s="12">
        <f>Calculator!$B$6/100*AM24</f>
        <v/>
      </c>
      <c r="P24" s="42">
        <f>O24-N24</f>
        <v/>
      </c>
      <c r="Q24" s="13">
        <f>L24/L23-1</f>
        <v/>
      </c>
      <c r="R24" s="12">
        <f>MAX(R23,N24)</f>
        <v/>
      </c>
      <c r="S24" s="13">
        <f>IF(R24&gt;0,N24/R24-1,0)</f>
        <v/>
      </c>
      <c r="T24" s="13">
        <f>(L24/Data!$G$5)^(12/($B24-5))-1</f>
        <v/>
      </c>
      <c r="U24" s="16">
        <f>INDEX(Monthly!$D$1:$D$500,$B24)</f>
        <v/>
      </c>
      <c r="V24" s="22">
        <f>Calculator!$B$33</f>
        <v/>
      </c>
      <c r="W24" s="12">
        <f>V24*U24</f>
        <v/>
      </c>
      <c r="X24" s="12">
        <f>Calculator!$B$7/100*AM24</f>
        <v/>
      </c>
      <c r="Y24" s="42">
        <f>X24-W24</f>
        <v/>
      </c>
      <c r="Z24" s="13">
        <f>U24/U23-1</f>
        <v/>
      </c>
      <c r="AA24" s="12">
        <f>MAX(AA23,W24)</f>
        <v/>
      </c>
      <c r="AB24" s="13">
        <f>IF(AA24&gt;0,W24/AA24-1,0)</f>
        <v/>
      </c>
      <c r="AC24" s="13">
        <f>(U24/1)^(12/($B24-5))-1</f>
        <v/>
      </c>
      <c r="AD24" s="16" t="n">
        <v>1</v>
      </c>
      <c r="AE24" s="22">
        <f>Calculator!$B$34</f>
        <v/>
      </c>
      <c r="AF24" s="12">
        <f>AE24*AD24</f>
        <v/>
      </c>
      <c r="AG24" s="12">
        <f>Calculator!$B$8/100*AM24</f>
        <v/>
      </c>
      <c r="AH24" s="42">
        <f>AG24-AF24</f>
        <v/>
      </c>
      <c r="AI24" s="13">
        <f>AD24/AD23-1</f>
        <v/>
      </c>
      <c r="AJ24" s="12">
        <f>MAX(AJ23,AF24)</f>
        <v/>
      </c>
      <c r="AK24" s="13">
        <f>IF(AJ24&gt;0,AF24/AJ24-1,0)</f>
        <v/>
      </c>
      <c r="AL24" s="13">
        <f>(AD24/1)^(12/($B24-5))-1</f>
        <v/>
      </c>
      <c r="AM24" s="11">
        <f>E24+N24+W24+AF24</f>
        <v/>
      </c>
      <c r="AN24" s="13">
        <f>AM24/AM23-1</f>
        <v/>
      </c>
      <c r="AO24" s="12">
        <f>MAX(AO23,AM24)</f>
        <v/>
      </c>
      <c r="AP24" s="13">
        <f>AM24/AO24-1</f>
        <v/>
      </c>
      <c r="AQ24" s="13">
        <f>(AM24/Calculator!$B$4)^(12/($B24-5))-1</f>
        <v/>
      </c>
      <c r="AR24" s="12">
        <f>G24+P24+Y24+AH24</f>
        <v/>
      </c>
    </row>
    <row r="25">
      <c r="A25" s="5" t="inlineStr">
        <is>
          <t>2015 Dec</t>
        </is>
      </c>
      <c r="B25" s="6">
        <f>'Year by year'!C25</f>
        <v/>
      </c>
      <c r="C25" s="22">
        <f>INDEX(Data!$C$1:$C$500,$B25)</f>
        <v/>
      </c>
      <c r="D25" s="22">
        <f>Calculator!$D$31</f>
        <v/>
      </c>
      <c r="E25" s="12">
        <f>D25*C25</f>
        <v/>
      </c>
      <c r="F25" s="12">
        <f>Calculator!$B$5/100*AM25</f>
        <v/>
      </c>
      <c r="G25" s="42">
        <f>F25-E25</f>
        <v/>
      </c>
      <c r="H25" s="13">
        <f>C25/C24-1</f>
        <v/>
      </c>
      <c r="I25" s="12">
        <f>MAX(I24,E25)</f>
        <v/>
      </c>
      <c r="J25" s="13">
        <f>IF(I25&gt;0,E25/I25-1,0)</f>
        <v/>
      </c>
      <c r="K25" s="13">
        <f>(C25/Data!$C$5)^(12/($B25-5))-1</f>
        <v/>
      </c>
      <c r="L25" s="22">
        <f>INDEX(Data!$G$1:$G$500,$B25)</f>
        <v/>
      </c>
      <c r="M25" s="22">
        <f>Calculator!$D$32</f>
        <v/>
      </c>
      <c r="N25" s="12">
        <f>M25*L25</f>
        <v/>
      </c>
      <c r="O25" s="12">
        <f>Calculator!$B$6/100*AM25</f>
        <v/>
      </c>
      <c r="P25" s="42">
        <f>O25-N25</f>
        <v/>
      </c>
      <c r="Q25" s="13">
        <f>L25/L24-1</f>
        <v/>
      </c>
      <c r="R25" s="12">
        <f>MAX(R24,N25)</f>
        <v/>
      </c>
      <c r="S25" s="13">
        <f>IF(R25&gt;0,N25/R25-1,0)</f>
        <v/>
      </c>
      <c r="T25" s="13">
        <f>(L25/Data!$G$5)^(12/($B25-5))-1</f>
        <v/>
      </c>
      <c r="U25" s="16">
        <f>INDEX(Monthly!$D$1:$D$500,$B25)</f>
        <v/>
      </c>
      <c r="V25" s="22">
        <f>Calculator!$B$33</f>
        <v/>
      </c>
      <c r="W25" s="12">
        <f>V25*U25</f>
        <v/>
      </c>
      <c r="X25" s="12">
        <f>Calculator!$B$7/100*AM25</f>
        <v/>
      </c>
      <c r="Y25" s="42">
        <f>X25-W25</f>
        <v/>
      </c>
      <c r="Z25" s="13">
        <f>U25/U24-1</f>
        <v/>
      </c>
      <c r="AA25" s="12">
        <f>MAX(AA24,W25)</f>
        <v/>
      </c>
      <c r="AB25" s="13">
        <f>IF(AA25&gt;0,W25/AA25-1,0)</f>
        <v/>
      </c>
      <c r="AC25" s="13">
        <f>(U25/1)^(12/($B25-5))-1</f>
        <v/>
      </c>
      <c r="AD25" s="16" t="n">
        <v>1</v>
      </c>
      <c r="AE25" s="22">
        <f>Calculator!$B$34</f>
        <v/>
      </c>
      <c r="AF25" s="12">
        <f>AE25*AD25</f>
        <v/>
      </c>
      <c r="AG25" s="12">
        <f>Calculator!$B$8/100*AM25</f>
        <v/>
      </c>
      <c r="AH25" s="42">
        <f>AG25-AF25</f>
        <v/>
      </c>
      <c r="AI25" s="13">
        <f>AD25/AD24-1</f>
        <v/>
      </c>
      <c r="AJ25" s="12">
        <f>MAX(AJ24,AF25)</f>
        <v/>
      </c>
      <c r="AK25" s="13">
        <f>IF(AJ25&gt;0,AF25/AJ25-1,0)</f>
        <v/>
      </c>
      <c r="AL25" s="13">
        <f>(AD25/1)^(12/($B25-5))-1</f>
        <v/>
      </c>
      <c r="AM25" s="11">
        <f>E25+N25+W25+AF25</f>
        <v/>
      </c>
      <c r="AN25" s="13">
        <f>AM25/AM24-1</f>
        <v/>
      </c>
      <c r="AO25" s="12">
        <f>MAX(AO24,AM25)</f>
        <v/>
      </c>
      <c r="AP25" s="13">
        <f>AM25/AO25-1</f>
        <v/>
      </c>
      <c r="AQ25" s="13">
        <f>(AM25/Calculator!$B$4)^(12/($B25-5))-1</f>
        <v/>
      </c>
      <c r="AR25" s="12">
        <f>G25+P25+Y25+AH25</f>
        <v/>
      </c>
    </row>
    <row r="26">
      <c r="A26" s="5" t="inlineStr">
        <is>
          <t>2016 Dec</t>
        </is>
      </c>
      <c r="B26" s="6">
        <f>'Year by year'!C26</f>
        <v/>
      </c>
      <c r="C26" s="22">
        <f>INDEX(Data!$C$1:$C$500,$B26)</f>
        <v/>
      </c>
      <c r="D26" s="22">
        <f>Calculator!$D$31</f>
        <v/>
      </c>
      <c r="E26" s="12">
        <f>D26*C26</f>
        <v/>
      </c>
      <c r="F26" s="12">
        <f>Calculator!$B$5/100*AM26</f>
        <v/>
      </c>
      <c r="G26" s="42">
        <f>F26-E26</f>
        <v/>
      </c>
      <c r="H26" s="13">
        <f>C26/C25-1</f>
        <v/>
      </c>
      <c r="I26" s="12">
        <f>MAX(I25,E26)</f>
        <v/>
      </c>
      <c r="J26" s="13">
        <f>IF(I26&gt;0,E26/I26-1,0)</f>
        <v/>
      </c>
      <c r="K26" s="13">
        <f>(C26/Data!$C$5)^(12/($B26-5))-1</f>
        <v/>
      </c>
      <c r="L26" s="22">
        <f>INDEX(Data!$G$1:$G$500,$B26)</f>
        <v/>
      </c>
      <c r="M26" s="22">
        <f>Calculator!$D$32</f>
        <v/>
      </c>
      <c r="N26" s="12">
        <f>M26*L26</f>
        <v/>
      </c>
      <c r="O26" s="12">
        <f>Calculator!$B$6/100*AM26</f>
        <v/>
      </c>
      <c r="P26" s="42">
        <f>O26-N26</f>
        <v/>
      </c>
      <c r="Q26" s="13">
        <f>L26/L25-1</f>
        <v/>
      </c>
      <c r="R26" s="12">
        <f>MAX(R25,N26)</f>
        <v/>
      </c>
      <c r="S26" s="13">
        <f>IF(R26&gt;0,N26/R26-1,0)</f>
        <v/>
      </c>
      <c r="T26" s="13">
        <f>(L26/Data!$G$5)^(12/($B26-5))-1</f>
        <v/>
      </c>
      <c r="U26" s="16">
        <f>INDEX(Monthly!$D$1:$D$500,$B26)</f>
        <v/>
      </c>
      <c r="V26" s="22">
        <f>Calculator!$B$33</f>
        <v/>
      </c>
      <c r="W26" s="12">
        <f>V26*U26</f>
        <v/>
      </c>
      <c r="X26" s="12">
        <f>Calculator!$B$7/100*AM26</f>
        <v/>
      </c>
      <c r="Y26" s="42">
        <f>X26-W26</f>
        <v/>
      </c>
      <c r="Z26" s="13">
        <f>U26/U25-1</f>
        <v/>
      </c>
      <c r="AA26" s="12">
        <f>MAX(AA25,W26)</f>
        <v/>
      </c>
      <c r="AB26" s="13">
        <f>IF(AA26&gt;0,W26/AA26-1,0)</f>
        <v/>
      </c>
      <c r="AC26" s="13">
        <f>(U26/1)^(12/($B26-5))-1</f>
        <v/>
      </c>
      <c r="AD26" s="16" t="n">
        <v>1</v>
      </c>
      <c r="AE26" s="22">
        <f>Calculator!$B$34</f>
        <v/>
      </c>
      <c r="AF26" s="12">
        <f>AE26*AD26</f>
        <v/>
      </c>
      <c r="AG26" s="12">
        <f>Calculator!$B$8/100*AM26</f>
        <v/>
      </c>
      <c r="AH26" s="42">
        <f>AG26-AF26</f>
        <v/>
      </c>
      <c r="AI26" s="13">
        <f>AD26/AD25-1</f>
        <v/>
      </c>
      <c r="AJ26" s="12">
        <f>MAX(AJ25,AF26)</f>
        <v/>
      </c>
      <c r="AK26" s="13">
        <f>IF(AJ26&gt;0,AF26/AJ26-1,0)</f>
        <v/>
      </c>
      <c r="AL26" s="13">
        <f>(AD26/1)^(12/($B26-5))-1</f>
        <v/>
      </c>
      <c r="AM26" s="11">
        <f>E26+N26+W26+AF26</f>
        <v/>
      </c>
      <c r="AN26" s="13">
        <f>AM26/AM25-1</f>
        <v/>
      </c>
      <c r="AO26" s="12">
        <f>MAX(AO25,AM26)</f>
        <v/>
      </c>
      <c r="AP26" s="13">
        <f>AM26/AO26-1</f>
        <v/>
      </c>
      <c r="AQ26" s="13">
        <f>(AM26/Calculator!$B$4)^(12/($B26-5))-1</f>
        <v/>
      </c>
      <c r="AR26" s="12">
        <f>G26+P26+Y26+AH26</f>
        <v/>
      </c>
    </row>
    <row r="27">
      <c r="A27" s="5" t="inlineStr">
        <is>
          <t>2017 Dec</t>
        </is>
      </c>
      <c r="B27" s="6">
        <f>'Year by year'!C27</f>
        <v/>
      </c>
      <c r="C27" s="22">
        <f>INDEX(Data!$C$1:$C$500,$B27)</f>
        <v/>
      </c>
      <c r="D27" s="22">
        <f>Calculator!$D$31</f>
        <v/>
      </c>
      <c r="E27" s="12">
        <f>D27*C27</f>
        <v/>
      </c>
      <c r="F27" s="12">
        <f>Calculator!$B$5/100*AM27</f>
        <v/>
      </c>
      <c r="G27" s="42">
        <f>F27-E27</f>
        <v/>
      </c>
      <c r="H27" s="13">
        <f>C27/C26-1</f>
        <v/>
      </c>
      <c r="I27" s="12">
        <f>MAX(I26,E27)</f>
        <v/>
      </c>
      <c r="J27" s="13">
        <f>IF(I27&gt;0,E27/I27-1,0)</f>
        <v/>
      </c>
      <c r="K27" s="13">
        <f>(C27/Data!$C$5)^(12/($B27-5))-1</f>
        <v/>
      </c>
      <c r="L27" s="22">
        <f>INDEX(Data!$G$1:$G$500,$B27)</f>
        <v/>
      </c>
      <c r="M27" s="22">
        <f>Calculator!$D$32</f>
        <v/>
      </c>
      <c r="N27" s="12">
        <f>M27*L27</f>
        <v/>
      </c>
      <c r="O27" s="12">
        <f>Calculator!$B$6/100*AM27</f>
        <v/>
      </c>
      <c r="P27" s="42">
        <f>O27-N27</f>
        <v/>
      </c>
      <c r="Q27" s="13">
        <f>L27/L26-1</f>
        <v/>
      </c>
      <c r="R27" s="12">
        <f>MAX(R26,N27)</f>
        <v/>
      </c>
      <c r="S27" s="13">
        <f>IF(R27&gt;0,N27/R27-1,0)</f>
        <v/>
      </c>
      <c r="T27" s="13">
        <f>(L27/Data!$G$5)^(12/($B27-5))-1</f>
        <v/>
      </c>
      <c r="U27" s="16">
        <f>INDEX(Monthly!$D$1:$D$500,$B27)</f>
        <v/>
      </c>
      <c r="V27" s="22">
        <f>Calculator!$B$33</f>
        <v/>
      </c>
      <c r="W27" s="12">
        <f>V27*U27</f>
        <v/>
      </c>
      <c r="X27" s="12">
        <f>Calculator!$B$7/100*AM27</f>
        <v/>
      </c>
      <c r="Y27" s="42">
        <f>X27-W27</f>
        <v/>
      </c>
      <c r="Z27" s="13">
        <f>U27/U26-1</f>
        <v/>
      </c>
      <c r="AA27" s="12">
        <f>MAX(AA26,W27)</f>
        <v/>
      </c>
      <c r="AB27" s="13">
        <f>IF(AA27&gt;0,W27/AA27-1,0)</f>
        <v/>
      </c>
      <c r="AC27" s="13">
        <f>(U27/1)^(12/($B27-5))-1</f>
        <v/>
      </c>
      <c r="AD27" s="16" t="n">
        <v>1</v>
      </c>
      <c r="AE27" s="22">
        <f>Calculator!$B$34</f>
        <v/>
      </c>
      <c r="AF27" s="12">
        <f>AE27*AD27</f>
        <v/>
      </c>
      <c r="AG27" s="12">
        <f>Calculator!$B$8/100*AM27</f>
        <v/>
      </c>
      <c r="AH27" s="42">
        <f>AG27-AF27</f>
        <v/>
      </c>
      <c r="AI27" s="13">
        <f>AD27/AD26-1</f>
        <v/>
      </c>
      <c r="AJ27" s="12">
        <f>MAX(AJ26,AF27)</f>
        <v/>
      </c>
      <c r="AK27" s="13">
        <f>IF(AJ27&gt;0,AF27/AJ27-1,0)</f>
        <v/>
      </c>
      <c r="AL27" s="13">
        <f>(AD27/1)^(12/($B27-5))-1</f>
        <v/>
      </c>
      <c r="AM27" s="11">
        <f>E27+N27+W27+AF27</f>
        <v/>
      </c>
      <c r="AN27" s="13">
        <f>AM27/AM26-1</f>
        <v/>
      </c>
      <c r="AO27" s="12">
        <f>MAX(AO26,AM27)</f>
        <v/>
      </c>
      <c r="AP27" s="13">
        <f>AM27/AO27-1</f>
        <v/>
      </c>
      <c r="AQ27" s="13">
        <f>(AM27/Calculator!$B$4)^(12/($B27-5))-1</f>
        <v/>
      </c>
      <c r="AR27" s="12">
        <f>G27+P27+Y27+AH27</f>
        <v/>
      </c>
    </row>
    <row r="28">
      <c r="A28" s="5" t="inlineStr">
        <is>
          <t>2018 Dec</t>
        </is>
      </c>
      <c r="B28" s="6">
        <f>'Year by year'!C28</f>
        <v/>
      </c>
      <c r="C28" s="22">
        <f>INDEX(Data!$C$1:$C$500,$B28)</f>
        <v/>
      </c>
      <c r="D28" s="22">
        <f>Calculator!$D$31</f>
        <v/>
      </c>
      <c r="E28" s="12">
        <f>D28*C28</f>
        <v/>
      </c>
      <c r="F28" s="12">
        <f>Calculator!$B$5/100*AM28</f>
        <v/>
      </c>
      <c r="G28" s="42">
        <f>F28-E28</f>
        <v/>
      </c>
      <c r="H28" s="13">
        <f>C28/C27-1</f>
        <v/>
      </c>
      <c r="I28" s="12">
        <f>MAX(I27,E28)</f>
        <v/>
      </c>
      <c r="J28" s="13">
        <f>IF(I28&gt;0,E28/I28-1,0)</f>
        <v/>
      </c>
      <c r="K28" s="13">
        <f>(C28/Data!$C$5)^(12/($B28-5))-1</f>
        <v/>
      </c>
      <c r="L28" s="22">
        <f>INDEX(Data!$G$1:$G$500,$B28)</f>
        <v/>
      </c>
      <c r="M28" s="22">
        <f>Calculator!$D$32</f>
        <v/>
      </c>
      <c r="N28" s="12">
        <f>M28*L28</f>
        <v/>
      </c>
      <c r="O28" s="12">
        <f>Calculator!$B$6/100*AM28</f>
        <v/>
      </c>
      <c r="P28" s="42">
        <f>O28-N28</f>
        <v/>
      </c>
      <c r="Q28" s="13">
        <f>L28/L27-1</f>
        <v/>
      </c>
      <c r="R28" s="12">
        <f>MAX(R27,N28)</f>
        <v/>
      </c>
      <c r="S28" s="13">
        <f>IF(R28&gt;0,N28/R28-1,0)</f>
        <v/>
      </c>
      <c r="T28" s="13">
        <f>(L28/Data!$G$5)^(12/($B28-5))-1</f>
        <v/>
      </c>
      <c r="U28" s="16">
        <f>INDEX(Monthly!$D$1:$D$500,$B28)</f>
        <v/>
      </c>
      <c r="V28" s="22">
        <f>Calculator!$B$33</f>
        <v/>
      </c>
      <c r="W28" s="12">
        <f>V28*U28</f>
        <v/>
      </c>
      <c r="X28" s="12">
        <f>Calculator!$B$7/100*AM28</f>
        <v/>
      </c>
      <c r="Y28" s="42">
        <f>X28-W28</f>
        <v/>
      </c>
      <c r="Z28" s="13">
        <f>U28/U27-1</f>
        <v/>
      </c>
      <c r="AA28" s="12">
        <f>MAX(AA27,W28)</f>
        <v/>
      </c>
      <c r="AB28" s="13">
        <f>IF(AA28&gt;0,W28/AA28-1,0)</f>
        <v/>
      </c>
      <c r="AC28" s="13">
        <f>(U28/1)^(12/($B28-5))-1</f>
        <v/>
      </c>
      <c r="AD28" s="16" t="n">
        <v>1</v>
      </c>
      <c r="AE28" s="22">
        <f>Calculator!$B$34</f>
        <v/>
      </c>
      <c r="AF28" s="12">
        <f>AE28*AD28</f>
        <v/>
      </c>
      <c r="AG28" s="12">
        <f>Calculator!$B$8/100*AM28</f>
        <v/>
      </c>
      <c r="AH28" s="42">
        <f>AG28-AF28</f>
        <v/>
      </c>
      <c r="AI28" s="13">
        <f>AD28/AD27-1</f>
        <v/>
      </c>
      <c r="AJ28" s="12">
        <f>MAX(AJ27,AF28)</f>
        <v/>
      </c>
      <c r="AK28" s="13">
        <f>IF(AJ28&gt;0,AF28/AJ28-1,0)</f>
        <v/>
      </c>
      <c r="AL28" s="13">
        <f>(AD28/1)^(12/($B28-5))-1</f>
        <v/>
      </c>
      <c r="AM28" s="11">
        <f>E28+N28+W28+AF28</f>
        <v/>
      </c>
      <c r="AN28" s="13">
        <f>AM28/AM27-1</f>
        <v/>
      </c>
      <c r="AO28" s="12">
        <f>MAX(AO27,AM28)</f>
        <v/>
      </c>
      <c r="AP28" s="13">
        <f>AM28/AO28-1</f>
        <v/>
      </c>
      <c r="AQ28" s="13">
        <f>(AM28/Calculator!$B$4)^(12/($B28-5))-1</f>
        <v/>
      </c>
      <c r="AR28" s="12">
        <f>G28+P28+Y28+AH28</f>
        <v/>
      </c>
    </row>
    <row r="29">
      <c r="A29" s="5" t="inlineStr">
        <is>
          <t>2019 Dec</t>
        </is>
      </c>
      <c r="B29" s="6">
        <f>'Year by year'!C29</f>
        <v/>
      </c>
      <c r="C29" s="22">
        <f>INDEX(Data!$C$1:$C$500,$B29)</f>
        <v/>
      </c>
      <c r="D29" s="22">
        <f>Calculator!$D$31</f>
        <v/>
      </c>
      <c r="E29" s="12">
        <f>D29*C29</f>
        <v/>
      </c>
      <c r="F29" s="12">
        <f>Calculator!$B$5/100*AM29</f>
        <v/>
      </c>
      <c r="G29" s="42">
        <f>F29-E29</f>
        <v/>
      </c>
      <c r="H29" s="13">
        <f>C29/C28-1</f>
        <v/>
      </c>
      <c r="I29" s="12">
        <f>MAX(I28,E29)</f>
        <v/>
      </c>
      <c r="J29" s="13">
        <f>IF(I29&gt;0,E29/I29-1,0)</f>
        <v/>
      </c>
      <c r="K29" s="13">
        <f>(C29/Data!$C$5)^(12/($B29-5))-1</f>
        <v/>
      </c>
      <c r="L29" s="22">
        <f>INDEX(Data!$G$1:$G$500,$B29)</f>
        <v/>
      </c>
      <c r="M29" s="22">
        <f>Calculator!$D$32</f>
        <v/>
      </c>
      <c r="N29" s="12">
        <f>M29*L29</f>
        <v/>
      </c>
      <c r="O29" s="12">
        <f>Calculator!$B$6/100*AM29</f>
        <v/>
      </c>
      <c r="P29" s="42">
        <f>O29-N29</f>
        <v/>
      </c>
      <c r="Q29" s="13">
        <f>L29/L28-1</f>
        <v/>
      </c>
      <c r="R29" s="12">
        <f>MAX(R28,N29)</f>
        <v/>
      </c>
      <c r="S29" s="13">
        <f>IF(R29&gt;0,N29/R29-1,0)</f>
        <v/>
      </c>
      <c r="T29" s="13">
        <f>(L29/Data!$G$5)^(12/($B29-5))-1</f>
        <v/>
      </c>
      <c r="U29" s="16">
        <f>INDEX(Monthly!$D$1:$D$500,$B29)</f>
        <v/>
      </c>
      <c r="V29" s="22">
        <f>Calculator!$B$33</f>
        <v/>
      </c>
      <c r="W29" s="12">
        <f>V29*U29</f>
        <v/>
      </c>
      <c r="X29" s="12">
        <f>Calculator!$B$7/100*AM29</f>
        <v/>
      </c>
      <c r="Y29" s="42">
        <f>X29-W29</f>
        <v/>
      </c>
      <c r="Z29" s="13">
        <f>U29/U28-1</f>
        <v/>
      </c>
      <c r="AA29" s="12">
        <f>MAX(AA28,W29)</f>
        <v/>
      </c>
      <c r="AB29" s="13">
        <f>IF(AA29&gt;0,W29/AA29-1,0)</f>
        <v/>
      </c>
      <c r="AC29" s="13">
        <f>(U29/1)^(12/($B29-5))-1</f>
        <v/>
      </c>
      <c r="AD29" s="16" t="n">
        <v>1</v>
      </c>
      <c r="AE29" s="22">
        <f>Calculator!$B$34</f>
        <v/>
      </c>
      <c r="AF29" s="12">
        <f>AE29*AD29</f>
        <v/>
      </c>
      <c r="AG29" s="12">
        <f>Calculator!$B$8/100*AM29</f>
        <v/>
      </c>
      <c r="AH29" s="42">
        <f>AG29-AF29</f>
        <v/>
      </c>
      <c r="AI29" s="13">
        <f>AD29/AD28-1</f>
        <v/>
      </c>
      <c r="AJ29" s="12">
        <f>MAX(AJ28,AF29)</f>
        <v/>
      </c>
      <c r="AK29" s="13">
        <f>IF(AJ29&gt;0,AF29/AJ29-1,0)</f>
        <v/>
      </c>
      <c r="AL29" s="13">
        <f>(AD29/1)^(12/($B29-5))-1</f>
        <v/>
      </c>
      <c r="AM29" s="11">
        <f>E29+N29+W29+AF29</f>
        <v/>
      </c>
      <c r="AN29" s="13">
        <f>AM29/AM28-1</f>
        <v/>
      </c>
      <c r="AO29" s="12">
        <f>MAX(AO28,AM29)</f>
        <v/>
      </c>
      <c r="AP29" s="13">
        <f>AM29/AO29-1</f>
        <v/>
      </c>
      <c r="AQ29" s="13">
        <f>(AM29/Calculator!$B$4)^(12/($B29-5))-1</f>
        <v/>
      </c>
      <c r="AR29" s="12">
        <f>G29+P29+Y29+AH29</f>
        <v/>
      </c>
    </row>
    <row r="30">
      <c r="A30" s="5" t="inlineStr">
        <is>
          <t>2020 Dec</t>
        </is>
      </c>
      <c r="B30" s="6">
        <f>'Year by year'!C30</f>
        <v/>
      </c>
      <c r="C30" s="22">
        <f>INDEX(Data!$C$1:$C$500,$B30)</f>
        <v/>
      </c>
      <c r="D30" s="22">
        <f>Calculator!$D$31</f>
        <v/>
      </c>
      <c r="E30" s="12">
        <f>D30*C30</f>
        <v/>
      </c>
      <c r="F30" s="12">
        <f>Calculator!$B$5/100*AM30</f>
        <v/>
      </c>
      <c r="G30" s="42">
        <f>F30-E30</f>
        <v/>
      </c>
      <c r="H30" s="13">
        <f>C30/C29-1</f>
        <v/>
      </c>
      <c r="I30" s="12">
        <f>MAX(I29,E30)</f>
        <v/>
      </c>
      <c r="J30" s="13">
        <f>IF(I30&gt;0,E30/I30-1,0)</f>
        <v/>
      </c>
      <c r="K30" s="13">
        <f>(C30/Data!$C$5)^(12/($B30-5))-1</f>
        <v/>
      </c>
      <c r="L30" s="22">
        <f>INDEX(Data!$G$1:$G$500,$B30)</f>
        <v/>
      </c>
      <c r="M30" s="22">
        <f>Calculator!$D$32</f>
        <v/>
      </c>
      <c r="N30" s="12">
        <f>M30*L30</f>
        <v/>
      </c>
      <c r="O30" s="12">
        <f>Calculator!$B$6/100*AM30</f>
        <v/>
      </c>
      <c r="P30" s="42">
        <f>O30-N30</f>
        <v/>
      </c>
      <c r="Q30" s="13">
        <f>L30/L29-1</f>
        <v/>
      </c>
      <c r="R30" s="12">
        <f>MAX(R29,N30)</f>
        <v/>
      </c>
      <c r="S30" s="13">
        <f>IF(R30&gt;0,N30/R30-1,0)</f>
        <v/>
      </c>
      <c r="T30" s="13">
        <f>(L30/Data!$G$5)^(12/($B30-5))-1</f>
        <v/>
      </c>
      <c r="U30" s="16">
        <f>INDEX(Monthly!$D$1:$D$500,$B30)</f>
        <v/>
      </c>
      <c r="V30" s="22">
        <f>Calculator!$B$33</f>
        <v/>
      </c>
      <c r="W30" s="12">
        <f>V30*U30</f>
        <v/>
      </c>
      <c r="X30" s="12">
        <f>Calculator!$B$7/100*AM30</f>
        <v/>
      </c>
      <c r="Y30" s="42">
        <f>X30-W30</f>
        <v/>
      </c>
      <c r="Z30" s="13">
        <f>U30/U29-1</f>
        <v/>
      </c>
      <c r="AA30" s="12">
        <f>MAX(AA29,W30)</f>
        <v/>
      </c>
      <c r="AB30" s="13">
        <f>IF(AA30&gt;0,W30/AA30-1,0)</f>
        <v/>
      </c>
      <c r="AC30" s="13">
        <f>(U30/1)^(12/($B30-5))-1</f>
        <v/>
      </c>
      <c r="AD30" s="16" t="n">
        <v>1</v>
      </c>
      <c r="AE30" s="22">
        <f>Calculator!$B$34</f>
        <v/>
      </c>
      <c r="AF30" s="12">
        <f>AE30*AD30</f>
        <v/>
      </c>
      <c r="AG30" s="12">
        <f>Calculator!$B$8/100*AM30</f>
        <v/>
      </c>
      <c r="AH30" s="42">
        <f>AG30-AF30</f>
        <v/>
      </c>
      <c r="AI30" s="13">
        <f>AD30/AD29-1</f>
        <v/>
      </c>
      <c r="AJ30" s="12">
        <f>MAX(AJ29,AF30)</f>
        <v/>
      </c>
      <c r="AK30" s="13">
        <f>IF(AJ30&gt;0,AF30/AJ30-1,0)</f>
        <v/>
      </c>
      <c r="AL30" s="13">
        <f>(AD30/1)^(12/($B30-5))-1</f>
        <v/>
      </c>
      <c r="AM30" s="11">
        <f>E30+N30+W30+AF30</f>
        <v/>
      </c>
      <c r="AN30" s="13">
        <f>AM30/AM29-1</f>
        <v/>
      </c>
      <c r="AO30" s="12">
        <f>MAX(AO29,AM30)</f>
        <v/>
      </c>
      <c r="AP30" s="13">
        <f>AM30/AO30-1</f>
        <v/>
      </c>
      <c r="AQ30" s="13">
        <f>(AM30/Calculator!$B$4)^(12/($B30-5))-1</f>
        <v/>
      </c>
      <c r="AR30" s="12">
        <f>G30+P30+Y30+AH30</f>
        <v/>
      </c>
    </row>
    <row r="31">
      <c r="A31" s="5" t="inlineStr">
        <is>
          <t>2021 Dec</t>
        </is>
      </c>
      <c r="B31" s="6">
        <f>'Year by year'!C31</f>
        <v/>
      </c>
      <c r="C31" s="22">
        <f>INDEX(Data!$C$1:$C$500,$B31)</f>
        <v/>
      </c>
      <c r="D31" s="22">
        <f>Calculator!$D$31</f>
        <v/>
      </c>
      <c r="E31" s="12">
        <f>D31*C31</f>
        <v/>
      </c>
      <c r="F31" s="12">
        <f>Calculator!$B$5/100*AM31</f>
        <v/>
      </c>
      <c r="G31" s="42">
        <f>F31-E31</f>
        <v/>
      </c>
      <c r="H31" s="13">
        <f>C31/C30-1</f>
        <v/>
      </c>
      <c r="I31" s="12">
        <f>MAX(I30,E31)</f>
        <v/>
      </c>
      <c r="J31" s="13">
        <f>IF(I31&gt;0,E31/I31-1,0)</f>
        <v/>
      </c>
      <c r="K31" s="13">
        <f>(C31/Data!$C$5)^(12/($B31-5))-1</f>
        <v/>
      </c>
      <c r="L31" s="22">
        <f>INDEX(Data!$G$1:$G$500,$B31)</f>
        <v/>
      </c>
      <c r="M31" s="22">
        <f>Calculator!$D$32</f>
        <v/>
      </c>
      <c r="N31" s="12">
        <f>M31*L31</f>
        <v/>
      </c>
      <c r="O31" s="12">
        <f>Calculator!$B$6/100*AM31</f>
        <v/>
      </c>
      <c r="P31" s="42">
        <f>O31-N31</f>
        <v/>
      </c>
      <c r="Q31" s="13">
        <f>L31/L30-1</f>
        <v/>
      </c>
      <c r="R31" s="12">
        <f>MAX(R30,N31)</f>
        <v/>
      </c>
      <c r="S31" s="13">
        <f>IF(R31&gt;0,N31/R31-1,0)</f>
        <v/>
      </c>
      <c r="T31" s="13">
        <f>(L31/Data!$G$5)^(12/($B31-5))-1</f>
        <v/>
      </c>
      <c r="U31" s="16">
        <f>INDEX(Monthly!$D$1:$D$500,$B31)</f>
        <v/>
      </c>
      <c r="V31" s="22">
        <f>Calculator!$B$33</f>
        <v/>
      </c>
      <c r="W31" s="12">
        <f>V31*U31</f>
        <v/>
      </c>
      <c r="X31" s="12">
        <f>Calculator!$B$7/100*AM31</f>
        <v/>
      </c>
      <c r="Y31" s="42">
        <f>X31-W31</f>
        <v/>
      </c>
      <c r="Z31" s="13">
        <f>U31/U30-1</f>
        <v/>
      </c>
      <c r="AA31" s="12">
        <f>MAX(AA30,W31)</f>
        <v/>
      </c>
      <c r="AB31" s="13">
        <f>IF(AA31&gt;0,W31/AA31-1,0)</f>
        <v/>
      </c>
      <c r="AC31" s="13">
        <f>(U31/1)^(12/($B31-5))-1</f>
        <v/>
      </c>
      <c r="AD31" s="16" t="n">
        <v>1</v>
      </c>
      <c r="AE31" s="22">
        <f>Calculator!$B$34</f>
        <v/>
      </c>
      <c r="AF31" s="12">
        <f>AE31*AD31</f>
        <v/>
      </c>
      <c r="AG31" s="12">
        <f>Calculator!$B$8/100*AM31</f>
        <v/>
      </c>
      <c r="AH31" s="42">
        <f>AG31-AF31</f>
        <v/>
      </c>
      <c r="AI31" s="13">
        <f>AD31/AD30-1</f>
        <v/>
      </c>
      <c r="AJ31" s="12">
        <f>MAX(AJ30,AF31)</f>
        <v/>
      </c>
      <c r="AK31" s="13">
        <f>IF(AJ31&gt;0,AF31/AJ31-1,0)</f>
        <v/>
      </c>
      <c r="AL31" s="13">
        <f>(AD31/1)^(12/($B31-5))-1</f>
        <v/>
      </c>
      <c r="AM31" s="11">
        <f>E31+N31+W31+AF31</f>
        <v/>
      </c>
      <c r="AN31" s="13">
        <f>AM31/AM30-1</f>
        <v/>
      </c>
      <c r="AO31" s="12">
        <f>MAX(AO30,AM31)</f>
        <v/>
      </c>
      <c r="AP31" s="13">
        <f>AM31/AO31-1</f>
        <v/>
      </c>
      <c r="AQ31" s="13">
        <f>(AM31/Calculator!$B$4)^(12/($B31-5))-1</f>
        <v/>
      </c>
      <c r="AR31" s="12">
        <f>G31+P31+Y31+AH31</f>
        <v/>
      </c>
    </row>
    <row r="32">
      <c r="A32" s="5" t="inlineStr">
        <is>
          <t>2022 Dec</t>
        </is>
      </c>
      <c r="B32" s="6">
        <f>'Year by year'!C32</f>
        <v/>
      </c>
      <c r="C32" s="22">
        <f>INDEX(Data!$C$1:$C$500,$B32)</f>
        <v/>
      </c>
      <c r="D32" s="22">
        <f>Calculator!$D$31</f>
        <v/>
      </c>
      <c r="E32" s="12">
        <f>D32*C32</f>
        <v/>
      </c>
      <c r="F32" s="12">
        <f>Calculator!$B$5/100*AM32</f>
        <v/>
      </c>
      <c r="G32" s="42">
        <f>F32-E32</f>
        <v/>
      </c>
      <c r="H32" s="13">
        <f>C32/C31-1</f>
        <v/>
      </c>
      <c r="I32" s="12">
        <f>MAX(I31,E32)</f>
        <v/>
      </c>
      <c r="J32" s="13">
        <f>IF(I32&gt;0,E32/I32-1,0)</f>
        <v/>
      </c>
      <c r="K32" s="13">
        <f>(C32/Data!$C$5)^(12/($B32-5))-1</f>
        <v/>
      </c>
      <c r="L32" s="22">
        <f>INDEX(Data!$G$1:$G$500,$B32)</f>
        <v/>
      </c>
      <c r="M32" s="22">
        <f>Calculator!$D$32</f>
        <v/>
      </c>
      <c r="N32" s="12">
        <f>M32*L32</f>
        <v/>
      </c>
      <c r="O32" s="12">
        <f>Calculator!$B$6/100*AM32</f>
        <v/>
      </c>
      <c r="P32" s="42">
        <f>O32-N32</f>
        <v/>
      </c>
      <c r="Q32" s="13">
        <f>L32/L31-1</f>
        <v/>
      </c>
      <c r="R32" s="12">
        <f>MAX(R31,N32)</f>
        <v/>
      </c>
      <c r="S32" s="13">
        <f>IF(R32&gt;0,N32/R32-1,0)</f>
        <v/>
      </c>
      <c r="T32" s="13">
        <f>(L32/Data!$G$5)^(12/($B32-5))-1</f>
        <v/>
      </c>
      <c r="U32" s="16">
        <f>INDEX(Monthly!$D$1:$D$500,$B32)</f>
        <v/>
      </c>
      <c r="V32" s="22">
        <f>Calculator!$B$33</f>
        <v/>
      </c>
      <c r="W32" s="12">
        <f>V32*U32</f>
        <v/>
      </c>
      <c r="X32" s="12">
        <f>Calculator!$B$7/100*AM32</f>
        <v/>
      </c>
      <c r="Y32" s="42">
        <f>X32-W32</f>
        <v/>
      </c>
      <c r="Z32" s="13">
        <f>U32/U31-1</f>
        <v/>
      </c>
      <c r="AA32" s="12">
        <f>MAX(AA31,W32)</f>
        <v/>
      </c>
      <c r="AB32" s="13">
        <f>IF(AA32&gt;0,W32/AA32-1,0)</f>
        <v/>
      </c>
      <c r="AC32" s="13">
        <f>(U32/1)^(12/($B32-5))-1</f>
        <v/>
      </c>
      <c r="AD32" s="16" t="n">
        <v>1</v>
      </c>
      <c r="AE32" s="22">
        <f>Calculator!$B$34</f>
        <v/>
      </c>
      <c r="AF32" s="12">
        <f>AE32*AD32</f>
        <v/>
      </c>
      <c r="AG32" s="12">
        <f>Calculator!$B$8/100*AM32</f>
        <v/>
      </c>
      <c r="AH32" s="42">
        <f>AG32-AF32</f>
        <v/>
      </c>
      <c r="AI32" s="13">
        <f>AD32/AD31-1</f>
        <v/>
      </c>
      <c r="AJ32" s="12">
        <f>MAX(AJ31,AF32)</f>
        <v/>
      </c>
      <c r="AK32" s="13">
        <f>IF(AJ32&gt;0,AF32/AJ32-1,0)</f>
        <v/>
      </c>
      <c r="AL32" s="13">
        <f>(AD32/1)^(12/($B32-5))-1</f>
        <v/>
      </c>
      <c r="AM32" s="11">
        <f>E32+N32+W32+AF32</f>
        <v/>
      </c>
      <c r="AN32" s="13">
        <f>AM32/AM31-1</f>
        <v/>
      </c>
      <c r="AO32" s="12">
        <f>MAX(AO31,AM32)</f>
        <v/>
      </c>
      <c r="AP32" s="13">
        <f>AM32/AO32-1</f>
        <v/>
      </c>
      <c r="AQ32" s="13">
        <f>(AM32/Calculator!$B$4)^(12/($B32-5))-1</f>
        <v/>
      </c>
      <c r="AR32" s="12">
        <f>G32+P32+Y32+AH32</f>
        <v/>
      </c>
    </row>
    <row r="33">
      <c r="A33" s="5" t="inlineStr">
        <is>
          <t>2023 Dec</t>
        </is>
      </c>
      <c r="B33" s="6">
        <f>'Year by year'!C33</f>
        <v/>
      </c>
      <c r="C33" s="22">
        <f>INDEX(Data!$C$1:$C$500,$B33)</f>
        <v/>
      </c>
      <c r="D33" s="22">
        <f>Calculator!$D$31</f>
        <v/>
      </c>
      <c r="E33" s="12">
        <f>D33*C33</f>
        <v/>
      </c>
      <c r="F33" s="12">
        <f>Calculator!$B$5/100*AM33</f>
        <v/>
      </c>
      <c r="G33" s="42">
        <f>F33-E33</f>
        <v/>
      </c>
      <c r="H33" s="13">
        <f>C33/C32-1</f>
        <v/>
      </c>
      <c r="I33" s="12">
        <f>MAX(I32,E33)</f>
        <v/>
      </c>
      <c r="J33" s="13">
        <f>IF(I33&gt;0,E33/I33-1,0)</f>
        <v/>
      </c>
      <c r="K33" s="13">
        <f>(C33/Data!$C$5)^(12/($B33-5))-1</f>
        <v/>
      </c>
      <c r="L33" s="22">
        <f>INDEX(Data!$G$1:$G$500,$B33)</f>
        <v/>
      </c>
      <c r="M33" s="22">
        <f>Calculator!$D$32</f>
        <v/>
      </c>
      <c r="N33" s="12">
        <f>M33*L33</f>
        <v/>
      </c>
      <c r="O33" s="12">
        <f>Calculator!$B$6/100*AM33</f>
        <v/>
      </c>
      <c r="P33" s="42">
        <f>O33-N33</f>
        <v/>
      </c>
      <c r="Q33" s="13">
        <f>L33/L32-1</f>
        <v/>
      </c>
      <c r="R33" s="12">
        <f>MAX(R32,N33)</f>
        <v/>
      </c>
      <c r="S33" s="13">
        <f>IF(R33&gt;0,N33/R33-1,0)</f>
        <v/>
      </c>
      <c r="T33" s="13">
        <f>(L33/Data!$G$5)^(12/($B33-5))-1</f>
        <v/>
      </c>
      <c r="U33" s="16">
        <f>INDEX(Monthly!$D$1:$D$500,$B33)</f>
        <v/>
      </c>
      <c r="V33" s="22">
        <f>Calculator!$B$33</f>
        <v/>
      </c>
      <c r="W33" s="12">
        <f>V33*U33</f>
        <v/>
      </c>
      <c r="X33" s="12">
        <f>Calculator!$B$7/100*AM33</f>
        <v/>
      </c>
      <c r="Y33" s="42">
        <f>X33-W33</f>
        <v/>
      </c>
      <c r="Z33" s="13">
        <f>U33/U32-1</f>
        <v/>
      </c>
      <c r="AA33" s="12">
        <f>MAX(AA32,W33)</f>
        <v/>
      </c>
      <c r="AB33" s="13">
        <f>IF(AA33&gt;0,W33/AA33-1,0)</f>
        <v/>
      </c>
      <c r="AC33" s="13">
        <f>(U33/1)^(12/($B33-5))-1</f>
        <v/>
      </c>
      <c r="AD33" s="16" t="n">
        <v>1</v>
      </c>
      <c r="AE33" s="22">
        <f>Calculator!$B$34</f>
        <v/>
      </c>
      <c r="AF33" s="12">
        <f>AE33*AD33</f>
        <v/>
      </c>
      <c r="AG33" s="12">
        <f>Calculator!$B$8/100*AM33</f>
        <v/>
      </c>
      <c r="AH33" s="42">
        <f>AG33-AF33</f>
        <v/>
      </c>
      <c r="AI33" s="13">
        <f>AD33/AD32-1</f>
        <v/>
      </c>
      <c r="AJ33" s="12">
        <f>MAX(AJ32,AF33)</f>
        <v/>
      </c>
      <c r="AK33" s="13">
        <f>IF(AJ33&gt;0,AF33/AJ33-1,0)</f>
        <v/>
      </c>
      <c r="AL33" s="13">
        <f>(AD33/1)^(12/($B33-5))-1</f>
        <v/>
      </c>
      <c r="AM33" s="11">
        <f>E33+N33+W33+AF33</f>
        <v/>
      </c>
      <c r="AN33" s="13">
        <f>AM33/AM32-1</f>
        <v/>
      </c>
      <c r="AO33" s="12">
        <f>MAX(AO32,AM33)</f>
        <v/>
      </c>
      <c r="AP33" s="13">
        <f>AM33/AO33-1</f>
        <v/>
      </c>
      <c r="AQ33" s="13">
        <f>(AM33/Calculator!$B$4)^(12/($B33-5))-1</f>
        <v/>
      </c>
      <c r="AR33" s="12">
        <f>G33+P33+Y33+AH33</f>
        <v/>
      </c>
    </row>
    <row r="34">
      <c r="A34" s="5" t="inlineStr">
        <is>
          <t>2024 Dec</t>
        </is>
      </c>
      <c r="B34" s="6">
        <f>'Year by year'!C34</f>
        <v/>
      </c>
      <c r="C34" s="22">
        <f>INDEX(Data!$C$1:$C$500,$B34)</f>
        <v/>
      </c>
      <c r="D34" s="22">
        <f>Calculator!$D$31</f>
        <v/>
      </c>
      <c r="E34" s="12">
        <f>D34*C34</f>
        <v/>
      </c>
      <c r="F34" s="12">
        <f>Calculator!$B$5/100*AM34</f>
        <v/>
      </c>
      <c r="G34" s="42">
        <f>F34-E34</f>
        <v/>
      </c>
      <c r="H34" s="13">
        <f>C34/C33-1</f>
        <v/>
      </c>
      <c r="I34" s="12">
        <f>MAX(I33,E34)</f>
        <v/>
      </c>
      <c r="J34" s="13">
        <f>IF(I34&gt;0,E34/I34-1,0)</f>
        <v/>
      </c>
      <c r="K34" s="13">
        <f>(C34/Data!$C$5)^(12/($B34-5))-1</f>
        <v/>
      </c>
      <c r="L34" s="22">
        <f>INDEX(Data!$G$1:$G$500,$B34)</f>
        <v/>
      </c>
      <c r="M34" s="22">
        <f>Calculator!$D$32</f>
        <v/>
      </c>
      <c r="N34" s="12">
        <f>M34*L34</f>
        <v/>
      </c>
      <c r="O34" s="12">
        <f>Calculator!$B$6/100*AM34</f>
        <v/>
      </c>
      <c r="P34" s="42">
        <f>O34-N34</f>
        <v/>
      </c>
      <c r="Q34" s="13">
        <f>L34/L33-1</f>
        <v/>
      </c>
      <c r="R34" s="12">
        <f>MAX(R33,N34)</f>
        <v/>
      </c>
      <c r="S34" s="13">
        <f>IF(R34&gt;0,N34/R34-1,0)</f>
        <v/>
      </c>
      <c r="T34" s="13">
        <f>(L34/Data!$G$5)^(12/($B34-5))-1</f>
        <v/>
      </c>
      <c r="U34" s="16">
        <f>INDEX(Monthly!$D$1:$D$500,$B34)</f>
        <v/>
      </c>
      <c r="V34" s="22">
        <f>Calculator!$B$33</f>
        <v/>
      </c>
      <c r="W34" s="12">
        <f>V34*U34</f>
        <v/>
      </c>
      <c r="X34" s="12">
        <f>Calculator!$B$7/100*AM34</f>
        <v/>
      </c>
      <c r="Y34" s="42">
        <f>X34-W34</f>
        <v/>
      </c>
      <c r="Z34" s="13">
        <f>U34/U33-1</f>
        <v/>
      </c>
      <c r="AA34" s="12">
        <f>MAX(AA33,W34)</f>
        <v/>
      </c>
      <c r="AB34" s="13">
        <f>IF(AA34&gt;0,W34/AA34-1,0)</f>
        <v/>
      </c>
      <c r="AC34" s="13">
        <f>(U34/1)^(12/($B34-5))-1</f>
        <v/>
      </c>
      <c r="AD34" s="16" t="n">
        <v>1</v>
      </c>
      <c r="AE34" s="22">
        <f>Calculator!$B$34</f>
        <v/>
      </c>
      <c r="AF34" s="12">
        <f>AE34*AD34</f>
        <v/>
      </c>
      <c r="AG34" s="12">
        <f>Calculator!$B$8/100*AM34</f>
        <v/>
      </c>
      <c r="AH34" s="42">
        <f>AG34-AF34</f>
        <v/>
      </c>
      <c r="AI34" s="13">
        <f>AD34/AD33-1</f>
        <v/>
      </c>
      <c r="AJ34" s="12">
        <f>MAX(AJ33,AF34)</f>
        <v/>
      </c>
      <c r="AK34" s="13">
        <f>IF(AJ34&gt;0,AF34/AJ34-1,0)</f>
        <v/>
      </c>
      <c r="AL34" s="13">
        <f>(AD34/1)^(12/($B34-5))-1</f>
        <v/>
      </c>
      <c r="AM34" s="11">
        <f>E34+N34+W34+AF34</f>
        <v/>
      </c>
      <c r="AN34" s="13">
        <f>AM34/AM33-1</f>
        <v/>
      </c>
      <c r="AO34" s="12">
        <f>MAX(AO33,AM34)</f>
        <v/>
      </c>
      <c r="AP34" s="13">
        <f>AM34/AO34-1</f>
        <v/>
      </c>
      <c r="AQ34" s="13">
        <f>(AM34/Calculator!$B$4)^(12/($B34-5))-1</f>
        <v/>
      </c>
      <c r="AR34" s="12">
        <f>G34+P34+Y34+AH34</f>
        <v/>
      </c>
    </row>
    <row r="35">
      <c r="A35" s="5" t="inlineStr">
        <is>
          <t>2025 Dec</t>
        </is>
      </c>
      <c r="B35" s="6">
        <f>'Year by year'!C35</f>
        <v/>
      </c>
      <c r="C35" s="22">
        <f>INDEX(Data!$C$1:$C$500,$B35)</f>
        <v/>
      </c>
      <c r="D35" s="22">
        <f>Calculator!$D$31</f>
        <v/>
      </c>
      <c r="E35" s="12">
        <f>D35*C35</f>
        <v/>
      </c>
      <c r="F35" s="12">
        <f>Calculator!$B$5/100*AM35</f>
        <v/>
      </c>
      <c r="G35" s="42">
        <f>F35-E35</f>
        <v/>
      </c>
      <c r="H35" s="13">
        <f>C35/C34-1</f>
        <v/>
      </c>
      <c r="I35" s="12">
        <f>MAX(I34,E35)</f>
        <v/>
      </c>
      <c r="J35" s="13">
        <f>IF(I35&gt;0,E35/I35-1,0)</f>
        <v/>
      </c>
      <c r="K35" s="13">
        <f>(C35/Data!$C$5)^(12/($B35-5))-1</f>
        <v/>
      </c>
      <c r="L35" s="22">
        <f>INDEX(Data!$G$1:$G$500,$B35)</f>
        <v/>
      </c>
      <c r="M35" s="22">
        <f>Calculator!$D$32</f>
        <v/>
      </c>
      <c r="N35" s="12">
        <f>M35*L35</f>
        <v/>
      </c>
      <c r="O35" s="12">
        <f>Calculator!$B$6/100*AM35</f>
        <v/>
      </c>
      <c r="P35" s="42">
        <f>O35-N35</f>
        <v/>
      </c>
      <c r="Q35" s="13">
        <f>L35/L34-1</f>
        <v/>
      </c>
      <c r="R35" s="12">
        <f>MAX(R34,N35)</f>
        <v/>
      </c>
      <c r="S35" s="13">
        <f>IF(R35&gt;0,N35/R35-1,0)</f>
        <v/>
      </c>
      <c r="T35" s="13">
        <f>(L35/Data!$G$5)^(12/($B35-5))-1</f>
        <v/>
      </c>
      <c r="U35" s="16">
        <f>INDEX(Monthly!$D$1:$D$500,$B35)</f>
        <v/>
      </c>
      <c r="V35" s="22">
        <f>Calculator!$B$33</f>
        <v/>
      </c>
      <c r="W35" s="12">
        <f>V35*U35</f>
        <v/>
      </c>
      <c r="X35" s="12">
        <f>Calculator!$B$7/100*AM35</f>
        <v/>
      </c>
      <c r="Y35" s="42">
        <f>X35-W35</f>
        <v/>
      </c>
      <c r="Z35" s="13">
        <f>U35/U34-1</f>
        <v/>
      </c>
      <c r="AA35" s="12">
        <f>MAX(AA34,W35)</f>
        <v/>
      </c>
      <c r="AB35" s="13">
        <f>IF(AA35&gt;0,W35/AA35-1,0)</f>
        <v/>
      </c>
      <c r="AC35" s="13">
        <f>(U35/1)^(12/($B35-5))-1</f>
        <v/>
      </c>
      <c r="AD35" s="16" t="n">
        <v>1</v>
      </c>
      <c r="AE35" s="22">
        <f>Calculator!$B$34</f>
        <v/>
      </c>
      <c r="AF35" s="12">
        <f>AE35*AD35</f>
        <v/>
      </c>
      <c r="AG35" s="12">
        <f>Calculator!$B$8/100*AM35</f>
        <v/>
      </c>
      <c r="AH35" s="42">
        <f>AG35-AF35</f>
        <v/>
      </c>
      <c r="AI35" s="13">
        <f>AD35/AD34-1</f>
        <v/>
      </c>
      <c r="AJ35" s="12">
        <f>MAX(AJ34,AF35)</f>
        <v/>
      </c>
      <c r="AK35" s="13">
        <f>IF(AJ35&gt;0,AF35/AJ35-1,0)</f>
        <v/>
      </c>
      <c r="AL35" s="13">
        <f>(AD35/1)^(12/($B35-5))-1</f>
        <v/>
      </c>
      <c r="AM35" s="11">
        <f>E35+N35+W35+AF35</f>
        <v/>
      </c>
      <c r="AN35" s="13">
        <f>AM35/AM34-1</f>
        <v/>
      </c>
      <c r="AO35" s="12">
        <f>MAX(AO34,AM35)</f>
        <v/>
      </c>
      <c r="AP35" s="13">
        <f>AM35/AO35-1</f>
        <v/>
      </c>
      <c r="AQ35" s="13">
        <f>(AM35/Calculator!$B$4)^(12/($B35-5))-1</f>
        <v/>
      </c>
      <c r="AR35" s="12">
        <f>G35+P35+Y35+AH35</f>
        <v/>
      </c>
    </row>
    <row r="36">
      <c r="A36" s="5" t="inlineStr">
        <is>
          <t>2026 Sep</t>
        </is>
      </c>
      <c r="B36" s="6">
        <f>'Year by year'!C36</f>
        <v/>
      </c>
      <c r="C36" s="22">
        <f>INDEX(Data!$C$1:$C$500,$B36)</f>
        <v/>
      </c>
      <c r="D36" s="22">
        <f>Calculator!$D$31</f>
        <v/>
      </c>
      <c r="E36" s="12">
        <f>D36*C36</f>
        <v/>
      </c>
      <c r="F36" s="12">
        <f>Calculator!$B$5/100*AM36</f>
        <v/>
      </c>
      <c r="G36" s="42">
        <f>F36-E36</f>
        <v/>
      </c>
      <c r="H36" s="13">
        <f>C36/C35-1</f>
        <v/>
      </c>
      <c r="I36" s="12">
        <f>MAX(I35,E36)</f>
        <v/>
      </c>
      <c r="J36" s="13">
        <f>IF(I36&gt;0,E36/I36-1,0)</f>
        <v/>
      </c>
      <c r="K36" s="13">
        <f>(C36/Data!$C$5)^(12/($B36-5))-1</f>
        <v/>
      </c>
      <c r="L36" s="22">
        <f>INDEX(Data!$G$1:$G$500,$B36)</f>
        <v/>
      </c>
      <c r="M36" s="22">
        <f>Calculator!$D$32</f>
        <v/>
      </c>
      <c r="N36" s="12">
        <f>M36*L36</f>
        <v/>
      </c>
      <c r="O36" s="12">
        <f>Calculator!$B$6/100*AM36</f>
        <v/>
      </c>
      <c r="P36" s="42">
        <f>O36-N36</f>
        <v/>
      </c>
      <c r="Q36" s="13">
        <f>L36/L35-1</f>
        <v/>
      </c>
      <c r="R36" s="12">
        <f>MAX(R35,N36)</f>
        <v/>
      </c>
      <c r="S36" s="13">
        <f>IF(R36&gt;0,N36/R36-1,0)</f>
        <v/>
      </c>
      <c r="T36" s="13">
        <f>(L36/Data!$G$5)^(12/($B36-5))-1</f>
        <v/>
      </c>
      <c r="U36" s="16">
        <f>INDEX(Monthly!$D$1:$D$500,$B36)</f>
        <v/>
      </c>
      <c r="V36" s="22">
        <f>Calculator!$B$33</f>
        <v/>
      </c>
      <c r="W36" s="12">
        <f>V36*U36</f>
        <v/>
      </c>
      <c r="X36" s="12">
        <f>Calculator!$B$7/100*AM36</f>
        <v/>
      </c>
      <c r="Y36" s="42">
        <f>X36-W36</f>
        <v/>
      </c>
      <c r="Z36" s="13">
        <f>U36/U35-1</f>
        <v/>
      </c>
      <c r="AA36" s="12">
        <f>MAX(AA35,W36)</f>
        <v/>
      </c>
      <c r="AB36" s="13">
        <f>IF(AA36&gt;0,W36/AA36-1,0)</f>
        <v/>
      </c>
      <c r="AC36" s="13">
        <f>(U36/1)^(12/($B36-5))-1</f>
        <v/>
      </c>
      <c r="AD36" s="16" t="n">
        <v>1</v>
      </c>
      <c r="AE36" s="22">
        <f>Calculator!$B$34</f>
        <v/>
      </c>
      <c r="AF36" s="12">
        <f>AE36*AD36</f>
        <v/>
      </c>
      <c r="AG36" s="12">
        <f>Calculator!$B$8/100*AM36</f>
        <v/>
      </c>
      <c r="AH36" s="42">
        <f>AG36-AF36</f>
        <v/>
      </c>
      <c r="AI36" s="13">
        <f>AD36/AD35-1</f>
        <v/>
      </c>
      <c r="AJ36" s="12">
        <f>MAX(AJ35,AF36)</f>
        <v/>
      </c>
      <c r="AK36" s="13">
        <f>IF(AJ36&gt;0,AF36/AJ36-1,0)</f>
        <v/>
      </c>
      <c r="AL36" s="13">
        <f>(AD36/1)^(12/($B36-5))-1</f>
        <v/>
      </c>
      <c r="AM36" s="11">
        <f>E36+N36+W36+AF36</f>
        <v/>
      </c>
      <c r="AN36" s="13">
        <f>AM36/AM35-1</f>
        <v/>
      </c>
      <c r="AO36" s="12">
        <f>MAX(AO35,AM36)</f>
        <v/>
      </c>
      <c r="AP36" s="13">
        <f>AM36/AO36-1</f>
        <v/>
      </c>
      <c r="AQ36" s="13">
        <f>(AM36/Calculator!$B$4)^(12/($B36-5))-1</f>
        <v/>
      </c>
      <c r="AR36" s="12">
        <f>G36+P36+Y36+AH36</f>
        <v/>
      </c>
    </row>
    <row r="38">
      <c r="A38" s="28" t="inlineStr">
        <is>
          <t>The first row, 1995 Dec, is what you bought at the Dec 1995 close (closing price, shares / grams, value; nothing has happened yet, so no return). Row in Data = the row of that year's December (2026: the last complete month) in the Data sheet; the tracker needs the Calculator sheet's 'What you bought' section.</t>
        </is>
      </c>
    </row>
  </sheetData>
  <mergeCells count="1"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4" t="inlineStr">
        <is>
          <t>Rebalance year by year (same table as the app's Rebalance page)</t>
        </is>
      </c>
    </row>
    <row r="2">
      <c r="A2" s="6" t="inlineStr">
        <is>
          <t>Tolerance (points): rebalance in a December only if an asset is more than this far from its target %; 0 = every year</t>
        </is>
      </c>
      <c r="B2" s="10" t="n">
        <v>5</v>
      </c>
    </row>
    <row r="3">
      <c r="A3" s="6" t="inlineStr">
        <is>
          <t>Capital Rs</t>
        </is>
      </c>
      <c r="B3" s="21">
        <f>Calculator!B4</f>
        <v/>
      </c>
    </row>
    <row r="4">
      <c r="A4" s="5" t="inlineStr">
        <is>
          <t>Asset</t>
        </is>
      </c>
      <c r="B4" s="5" t="inlineStr">
        <is>
          <t>Nifty</t>
        </is>
      </c>
      <c r="C4" s="5" t="inlineStr">
        <is>
          <t>Gold</t>
        </is>
      </c>
      <c r="D4" s="5" t="inlineStr">
        <is>
          <t>Bonds</t>
        </is>
      </c>
      <c r="E4" s="5" t="inlineStr">
        <is>
          <t>Cash</t>
        </is>
      </c>
    </row>
    <row r="5">
      <c r="A5" s="5" t="inlineStr">
        <is>
          <t>Target %</t>
        </is>
      </c>
      <c r="B5">
        <f>Calculator!B5</f>
        <v/>
      </c>
      <c r="C5">
        <f>Calculator!B6</f>
        <v/>
      </c>
      <c r="D5">
        <f>Calculator!B7</f>
        <v/>
      </c>
      <c r="E5">
        <f>Calculator!B8</f>
        <v/>
      </c>
    </row>
    <row r="6" ht="58" customHeight="1">
      <c r="A6" s="24" t="inlineStr">
        <is>
          <t>First row = what you bought at the Dec 1995 close. Then every December: the amount in each asset at the December close (shares / grams held x that close), the buy (+) / sell (-) to get back to the target % when the portfolio is rebalanced (Nifty in shares, Gold in grams, at that close), and the amount and shares / grams after. Shares and grams change only in a December when the portfolio is rebalanced; otherwise they stay the same. Bonds and Cash have no units.</t>
        </is>
      </c>
    </row>
    <row r="8" ht="46" customHeight="1">
      <c r="A8" s="37" t="inlineStr">
        <is>
          <t>Year</t>
        </is>
      </c>
      <c r="B8" s="33" t="inlineStr">
        <is>
          <t>Nifty Rs at the Dec close</t>
        </is>
      </c>
      <c r="C8" s="33" t="inlineStr">
        <is>
          <t>Nifty shares held</t>
        </is>
      </c>
      <c r="D8" s="33" t="inlineStr">
        <is>
          <t>Nifty price (Dec close)</t>
        </is>
      </c>
      <c r="E8" s="33" t="inlineStr">
        <is>
          <t>Nifty shares bought(+)/sold(-) at that price</t>
        </is>
      </c>
      <c r="F8" s="33" t="inlineStr">
        <is>
          <t>Nifty buy(+)/sell(-) Rs</t>
        </is>
      </c>
      <c r="G8" s="33" t="inlineStr">
        <is>
          <t>Nifty Rs after</t>
        </is>
      </c>
      <c r="H8" s="33" t="inlineStr">
        <is>
          <t>Nifty shares after</t>
        </is>
      </c>
      <c r="I8" s="34" t="inlineStr">
        <is>
          <t>Gold Rs at the Dec close</t>
        </is>
      </c>
      <c r="J8" s="34" t="inlineStr">
        <is>
          <t>Gold grams held</t>
        </is>
      </c>
      <c r="K8" s="34" t="inlineStr">
        <is>
          <t>Gold Rs per gram (Dec close)</t>
        </is>
      </c>
      <c r="L8" s="34" t="inlineStr">
        <is>
          <t>Gold grams bought(+)/sold(-) at that price</t>
        </is>
      </c>
      <c r="M8" s="34" t="inlineStr">
        <is>
          <t>Gold buy(+)/sell(-) Rs</t>
        </is>
      </c>
      <c r="N8" s="34" t="inlineStr">
        <is>
          <t>Gold Rs after</t>
        </is>
      </c>
      <c r="O8" s="34" t="inlineStr">
        <is>
          <t>Gold grams after</t>
        </is>
      </c>
      <c r="P8" s="35" t="inlineStr">
        <is>
          <t>Bonds Rs at the Dec close</t>
        </is>
      </c>
      <c r="Q8" s="35" t="inlineStr">
        <is>
          <t>Bonds return that year</t>
        </is>
      </c>
      <c r="R8" s="35" t="inlineStr">
        <is>
          <t>Bonds buy(+)/sell(-) Rs</t>
        </is>
      </c>
      <c r="S8" s="35" t="inlineStr">
        <is>
          <t>Bonds Rs after</t>
        </is>
      </c>
      <c r="T8" s="36" t="inlineStr">
        <is>
          <t>Cash Rs at the Dec close</t>
        </is>
      </c>
      <c r="U8" s="36" t="inlineStr">
        <is>
          <t>Cash buy(+)/sell(-) Rs</t>
        </is>
      </c>
      <c r="V8" s="36" t="inlineStr">
        <is>
          <t>Cash Rs after</t>
        </is>
      </c>
      <c r="W8" s="37" t="inlineStr">
        <is>
          <t>Portfolio Rs</t>
        </is>
      </c>
      <c r="X8" s="37" t="inlineStr">
        <is>
          <t>Rebalanced?</t>
        </is>
      </c>
      <c r="Y8" s="37" t="inlineStr">
        <is>
          <t>Return that year</t>
        </is>
      </c>
      <c r="Z8" s="37" t="inlineStr">
        <is>
          <t>Inflation %</t>
        </is>
      </c>
      <c r="AA8" s="37" t="inlineStr">
        <is>
          <t>After inflation Rs</t>
        </is>
      </c>
      <c r="AB8" s="37" t="inlineStr">
        <is>
          <t>Avg per year so far</t>
        </is>
      </c>
      <c r="AC8" s="37" t="inlineStr">
        <is>
          <t>Without rebalancing Rs</t>
        </is>
      </c>
      <c r="AD8" s="37" t="inlineStr">
        <is>
          <t>With minus without Rs</t>
        </is>
      </c>
      <c r="AE8" s="43" t="inlineStr">
        <is>
          <t>Row in Data (working)</t>
        </is>
      </c>
      <c r="AF8" s="43" t="inlineStr">
        <is>
          <t>Max drift, points (working)</t>
        </is>
      </c>
    </row>
    <row r="9">
      <c r="A9" s="44" t="inlineStr">
        <is>
          <t>1995 Dec close (buy)</t>
        </is>
      </c>
      <c r="B9" s="44">
        <f>$B$3*$B$5/100</f>
        <v/>
      </c>
      <c r="C9" s="45">
        <f>B9/D9</f>
        <v/>
      </c>
      <c r="D9" s="45">
        <f>INDEX(Data!$C$1:$C$500,$AE9)</f>
        <v/>
      </c>
      <c r="E9" s="46">
        <f>F9/D9</f>
        <v/>
      </c>
      <c r="F9" s="47">
        <f>IF($X9="Yes",W9*$B$5/100-B9,0)</f>
        <v/>
      </c>
      <c r="G9" s="44">
        <f>B9+F9</f>
        <v/>
      </c>
      <c r="H9" s="45">
        <f>G9/D9</f>
        <v/>
      </c>
      <c r="I9" s="44">
        <f>$B$3*$C$5/100</f>
        <v/>
      </c>
      <c r="J9" s="45">
        <f>I9/K9</f>
        <v/>
      </c>
      <c r="K9" s="45">
        <f>INDEX(Data!$G$1:$G$500,$AE9)</f>
        <v/>
      </c>
      <c r="L9" s="46">
        <f>M9/K9</f>
        <v/>
      </c>
      <c r="M9" s="47">
        <f>IF($X9="Yes",W9*$C$5/100-I9,0)</f>
        <v/>
      </c>
      <c r="N9" s="44">
        <f>I9+M9</f>
        <v/>
      </c>
      <c r="O9" s="45">
        <f>N9/K9</f>
        <v/>
      </c>
      <c r="P9" s="44">
        <f>$B$3*$D$5/100</f>
        <v/>
      </c>
      <c r="Q9" s="48" t="n"/>
      <c r="R9" s="47">
        <f>IF($X9="Yes",W9*$D$5/100-P9,0)</f>
        <v/>
      </c>
      <c r="S9" s="44">
        <f>P9+R9</f>
        <v/>
      </c>
      <c r="T9" s="44">
        <f>$B$3*$E$5/100</f>
        <v/>
      </c>
      <c r="U9" s="47">
        <f>IF($X9="Yes",W9*$E$5/100-T9,0)</f>
        <v/>
      </c>
      <c r="V9" s="44">
        <f>T9+U9</f>
        <v/>
      </c>
      <c r="W9" s="44">
        <f>B9+I9+P9+T9</f>
        <v/>
      </c>
      <c r="X9" s="44" t="inlineStr">
        <is>
          <t>Start (buy)</t>
        </is>
      </c>
      <c r="Y9" s="48" t="n"/>
      <c r="Z9" s="49" t="n"/>
      <c r="AA9" s="44">
        <f>W9/INDEX(Monthly!$F$1:$F$500,$AE9)</f>
        <v/>
      </c>
      <c r="AB9" s="48" t="n"/>
      <c r="AC9" s="44">
        <f>INDEX(Monthly!$K$1:$K$500,$AE9)</f>
        <v/>
      </c>
      <c r="AD9" s="47">
        <f>W9-AC9</f>
        <v/>
      </c>
      <c r="AE9" s="50">
        <f>'Year by year'!C5</f>
        <v/>
      </c>
      <c r="AF9" s="49">
        <f>MAX(ABS(B9/W9*100-$B$5),ABS(I9/W9*100-$C$5),ABS(P9/W9*100-$D$5),ABS(T9/W9*100-$E$5))</f>
        <v/>
      </c>
    </row>
    <row r="10">
      <c r="A10" s="11" t="inlineStr">
        <is>
          <t>1996 Dec</t>
        </is>
      </c>
      <c r="B10" s="12">
        <f>C10*D10</f>
        <v/>
      </c>
      <c r="C10" s="22">
        <f>H9</f>
        <v/>
      </c>
      <c r="D10" s="22">
        <f>INDEX(Data!$C$1:$C$500,$AE10)</f>
        <v/>
      </c>
      <c r="E10" s="51">
        <f>F10/D10</f>
        <v/>
      </c>
      <c r="F10" s="52">
        <f>IF($X10="Yes",W10*$B$5/100-B10,0)</f>
        <v/>
      </c>
      <c r="G10" s="12">
        <f>B10+F10</f>
        <v/>
      </c>
      <c r="H10" s="22">
        <f>G10/D10</f>
        <v/>
      </c>
      <c r="I10" s="12">
        <f>J10*K10</f>
        <v/>
      </c>
      <c r="J10" s="22">
        <f>O9</f>
        <v/>
      </c>
      <c r="K10" s="22">
        <f>INDEX(Data!$G$1:$G$500,$AE10)</f>
        <v/>
      </c>
      <c r="L10" s="51">
        <f>M10/K10</f>
        <v/>
      </c>
      <c r="M10" s="52">
        <f>IF($X10="Yes",W10*$C$5/100-I10,0)</f>
        <v/>
      </c>
      <c r="N10" s="12">
        <f>I10+M10</f>
        <v/>
      </c>
      <c r="O10" s="22">
        <f>N10/K10</f>
        <v/>
      </c>
      <c r="P10" s="12">
        <f>S9*INDEX(Monthly!$D$1:$D$500,$AE10)/INDEX(Monthly!$D$1:$D$500,$AE9)</f>
        <v/>
      </c>
      <c r="Q10" s="13">
        <f>INDEX(Monthly!$D$1:$D$500,$AE10)/INDEX(Monthly!$D$1:$D$500,$AE9)-1</f>
        <v/>
      </c>
      <c r="R10" s="52">
        <f>IF($X10="Yes",W10*$D$5/100-P10,0)</f>
        <v/>
      </c>
      <c r="S10" s="12">
        <f>P10+R10</f>
        <v/>
      </c>
      <c r="T10" s="12">
        <f>V9</f>
        <v/>
      </c>
      <c r="U10" s="52">
        <f>IF($X10="Yes",W10*$E$5/100-T10,0)</f>
        <v/>
      </c>
      <c r="V10" s="12">
        <f>T10+U10</f>
        <v/>
      </c>
      <c r="W10" s="11">
        <f>B10+I10+P10+T10</f>
        <v/>
      </c>
      <c r="X10" s="12">
        <f>IF(OR($B$2=0,AF10&gt;$B$2),"Yes","No")</f>
        <v/>
      </c>
      <c r="Y10" s="13">
        <f>W10/W9-1</f>
        <v/>
      </c>
      <c r="Z10" s="19">
        <f>INDEX(Data!$H$1:$H$500,$AE10)</f>
        <v/>
      </c>
      <c r="AA10" s="12">
        <f>W10/INDEX(Monthly!$F$1:$F$500,$AE10)</f>
        <v/>
      </c>
      <c r="AB10" s="13">
        <f>(W10/$B$3)^(12/($AE10-5))-1</f>
        <v/>
      </c>
      <c r="AC10" s="12">
        <f>INDEX(Monthly!$K$1:$K$500,$AE10)</f>
        <v/>
      </c>
      <c r="AD10" s="42">
        <f>W10-AC10</f>
        <v/>
      </c>
      <c r="AE10" s="53">
        <f>'Year by year'!C6</f>
        <v/>
      </c>
      <c r="AF10" s="19">
        <f>MAX(ABS(B10/W10*100-$B$5),ABS(I10/W10*100-$C$5),ABS(P10/W10*100-$D$5),ABS(T10/W10*100-$E$5))</f>
        <v/>
      </c>
    </row>
    <row r="11">
      <c r="A11" s="11" t="inlineStr">
        <is>
          <t>1997 Dec</t>
        </is>
      </c>
      <c r="B11" s="12">
        <f>C11*D11</f>
        <v/>
      </c>
      <c r="C11" s="22">
        <f>H10</f>
        <v/>
      </c>
      <c r="D11" s="22">
        <f>INDEX(Data!$C$1:$C$500,$AE11)</f>
        <v/>
      </c>
      <c r="E11" s="51">
        <f>F11/D11</f>
        <v/>
      </c>
      <c r="F11" s="52">
        <f>IF($X11="Yes",W11*$B$5/100-B11,0)</f>
        <v/>
      </c>
      <c r="G11" s="12">
        <f>B11+F11</f>
        <v/>
      </c>
      <c r="H11" s="22">
        <f>G11/D11</f>
        <v/>
      </c>
      <c r="I11" s="12">
        <f>J11*K11</f>
        <v/>
      </c>
      <c r="J11" s="22">
        <f>O10</f>
        <v/>
      </c>
      <c r="K11" s="22">
        <f>INDEX(Data!$G$1:$G$500,$AE11)</f>
        <v/>
      </c>
      <c r="L11" s="51">
        <f>M11/K11</f>
        <v/>
      </c>
      <c r="M11" s="52">
        <f>IF($X11="Yes",W11*$C$5/100-I11,0)</f>
        <v/>
      </c>
      <c r="N11" s="12">
        <f>I11+M11</f>
        <v/>
      </c>
      <c r="O11" s="22">
        <f>N11/K11</f>
        <v/>
      </c>
      <c r="P11" s="12">
        <f>S10*INDEX(Monthly!$D$1:$D$500,$AE11)/INDEX(Monthly!$D$1:$D$500,$AE10)</f>
        <v/>
      </c>
      <c r="Q11" s="13">
        <f>INDEX(Monthly!$D$1:$D$500,$AE11)/INDEX(Monthly!$D$1:$D$500,$AE10)-1</f>
        <v/>
      </c>
      <c r="R11" s="52">
        <f>IF($X11="Yes",W11*$D$5/100-P11,0)</f>
        <v/>
      </c>
      <c r="S11" s="12">
        <f>P11+R11</f>
        <v/>
      </c>
      <c r="T11" s="12">
        <f>V10</f>
        <v/>
      </c>
      <c r="U11" s="52">
        <f>IF($X11="Yes",W11*$E$5/100-T11,0)</f>
        <v/>
      </c>
      <c r="V11" s="12">
        <f>T11+U11</f>
        <v/>
      </c>
      <c r="W11" s="11">
        <f>B11+I11+P11+T11</f>
        <v/>
      </c>
      <c r="X11" s="12">
        <f>IF(OR($B$2=0,AF11&gt;$B$2),"Yes","No")</f>
        <v/>
      </c>
      <c r="Y11" s="13">
        <f>W11/W10-1</f>
        <v/>
      </c>
      <c r="Z11" s="19">
        <f>INDEX(Data!$H$1:$H$500,$AE11)</f>
        <v/>
      </c>
      <c r="AA11" s="12">
        <f>W11/INDEX(Monthly!$F$1:$F$500,$AE11)</f>
        <v/>
      </c>
      <c r="AB11" s="13">
        <f>(W11/$B$3)^(12/($AE11-5))-1</f>
        <v/>
      </c>
      <c r="AC11" s="12">
        <f>INDEX(Monthly!$K$1:$K$500,$AE11)</f>
        <v/>
      </c>
      <c r="AD11" s="42">
        <f>W11-AC11</f>
        <v/>
      </c>
      <c r="AE11" s="53">
        <f>'Year by year'!C7</f>
        <v/>
      </c>
      <c r="AF11" s="19">
        <f>MAX(ABS(B11/W11*100-$B$5),ABS(I11/W11*100-$C$5),ABS(P11/W11*100-$D$5),ABS(T11/W11*100-$E$5))</f>
        <v/>
      </c>
    </row>
    <row r="12">
      <c r="A12" s="11" t="inlineStr">
        <is>
          <t>1998 Dec</t>
        </is>
      </c>
      <c r="B12" s="12">
        <f>C12*D12</f>
        <v/>
      </c>
      <c r="C12" s="22">
        <f>H11</f>
        <v/>
      </c>
      <c r="D12" s="22">
        <f>INDEX(Data!$C$1:$C$500,$AE12)</f>
        <v/>
      </c>
      <c r="E12" s="51">
        <f>F12/D12</f>
        <v/>
      </c>
      <c r="F12" s="52">
        <f>IF($X12="Yes",W12*$B$5/100-B12,0)</f>
        <v/>
      </c>
      <c r="G12" s="12">
        <f>B12+F12</f>
        <v/>
      </c>
      <c r="H12" s="22">
        <f>G12/D12</f>
        <v/>
      </c>
      <c r="I12" s="12">
        <f>J12*K12</f>
        <v/>
      </c>
      <c r="J12" s="22">
        <f>O11</f>
        <v/>
      </c>
      <c r="K12" s="22">
        <f>INDEX(Data!$G$1:$G$500,$AE12)</f>
        <v/>
      </c>
      <c r="L12" s="51">
        <f>M12/K12</f>
        <v/>
      </c>
      <c r="M12" s="52">
        <f>IF($X12="Yes",W12*$C$5/100-I12,0)</f>
        <v/>
      </c>
      <c r="N12" s="12">
        <f>I12+M12</f>
        <v/>
      </c>
      <c r="O12" s="22">
        <f>N12/K12</f>
        <v/>
      </c>
      <c r="P12" s="12">
        <f>S11*INDEX(Monthly!$D$1:$D$500,$AE12)/INDEX(Monthly!$D$1:$D$500,$AE11)</f>
        <v/>
      </c>
      <c r="Q12" s="13">
        <f>INDEX(Monthly!$D$1:$D$500,$AE12)/INDEX(Monthly!$D$1:$D$500,$AE11)-1</f>
        <v/>
      </c>
      <c r="R12" s="52">
        <f>IF($X12="Yes",W12*$D$5/100-P12,0)</f>
        <v/>
      </c>
      <c r="S12" s="12">
        <f>P12+R12</f>
        <v/>
      </c>
      <c r="T12" s="12">
        <f>V11</f>
        <v/>
      </c>
      <c r="U12" s="52">
        <f>IF($X12="Yes",W12*$E$5/100-T12,0)</f>
        <v/>
      </c>
      <c r="V12" s="12">
        <f>T12+U12</f>
        <v/>
      </c>
      <c r="W12" s="11">
        <f>B12+I12+P12+T12</f>
        <v/>
      </c>
      <c r="X12" s="12">
        <f>IF(OR($B$2=0,AF12&gt;$B$2),"Yes","No")</f>
        <v/>
      </c>
      <c r="Y12" s="13">
        <f>W12/W11-1</f>
        <v/>
      </c>
      <c r="Z12" s="19">
        <f>INDEX(Data!$H$1:$H$500,$AE12)</f>
        <v/>
      </c>
      <c r="AA12" s="12">
        <f>W12/INDEX(Monthly!$F$1:$F$500,$AE12)</f>
        <v/>
      </c>
      <c r="AB12" s="13">
        <f>(W12/$B$3)^(12/($AE12-5))-1</f>
        <v/>
      </c>
      <c r="AC12" s="12">
        <f>INDEX(Monthly!$K$1:$K$500,$AE12)</f>
        <v/>
      </c>
      <c r="AD12" s="42">
        <f>W12-AC12</f>
        <v/>
      </c>
      <c r="AE12" s="53">
        <f>'Year by year'!C8</f>
        <v/>
      </c>
      <c r="AF12" s="19">
        <f>MAX(ABS(B12/W12*100-$B$5),ABS(I12/W12*100-$C$5),ABS(P12/W12*100-$D$5),ABS(T12/W12*100-$E$5))</f>
        <v/>
      </c>
    </row>
    <row r="13">
      <c r="A13" s="11" t="inlineStr">
        <is>
          <t>1999 Dec</t>
        </is>
      </c>
      <c r="B13" s="12">
        <f>C13*D13</f>
        <v/>
      </c>
      <c r="C13" s="22">
        <f>H12</f>
        <v/>
      </c>
      <c r="D13" s="22">
        <f>INDEX(Data!$C$1:$C$500,$AE13)</f>
        <v/>
      </c>
      <c r="E13" s="51">
        <f>F13/D13</f>
        <v/>
      </c>
      <c r="F13" s="52">
        <f>IF($X13="Yes",W13*$B$5/100-B13,0)</f>
        <v/>
      </c>
      <c r="G13" s="12">
        <f>B13+F13</f>
        <v/>
      </c>
      <c r="H13" s="22">
        <f>G13/D13</f>
        <v/>
      </c>
      <c r="I13" s="12">
        <f>J13*K13</f>
        <v/>
      </c>
      <c r="J13" s="22">
        <f>O12</f>
        <v/>
      </c>
      <c r="K13" s="22">
        <f>INDEX(Data!$G$1:$G$500,$AE13)</f>
        <v/>
      </c>
      <c r="L13" s="51">
        <f>M13/K13</f>
        <v/>
      </c>
      <c r="M13" s="52">
        <f>IF($X13="Yes",W13*$C$5/100-I13,0)</f>
        <v/>
      </c>
      <c r="N13" s="12">
        <f>I13+M13</f>
        <v/>
      </c>
      <c r="O13" s="22">
        <f>N13/K13</f>
        <v/>
      </c>
      <c r="P13" s="12">
        <f>S12*INDEX(Monthly!$D$1:$D$500,$AE13)/INDEX(Monthly!$D$1:$D$500,$AE12)</f>
        <v/>
      </c>
      <c r="Q13" s="13">
        <f>INDEX(Monthly!$D$1:$D$500,$AE13)/INDEX(Monthly!$D$1:$D$500,$AE12)-1</f>
        <v/>
      </c>
      <c r="R13" s="52">
        <f>IF($X13="Yes",W13*$D$5/100-P13,0)</f>
        <v/>
      </c>
      <c r="S13" s="12">
        <f>P13+R13</f>
        <v/>
      </c>
      <c r="T13" s="12">
        <f>V12</f>
        <v/>
      </c>
      <c r="U13" s="52">
        <f>IF($X13="Yes",W13*$E$5/100-T13,0)</f>
        <v/>
      </c>
      <c r="V13" s="12">
        <f>T13+U13</f>
        <v/>
      </c>
      <c r="W13" s="11">
        <f>B13+I13+P13+T13</f>
        <v/>
      </c>
      <c r="X13" s="12">
        <f>IF(OR($B$2=0,AF13&gt;$B$2),"Yes","No")</f>
        <v/>
      </c>
      <c r="Y13" s="13">
        <f>W13/W12-1</f>
        <v/>
      </c>
      <c r="Z13" s="19">
        <f>INDEX(Data!$H$1:$H$500,$AE13)</f>
        <v/>
      </c>
      <c r="AA13" s="12">
        <f>W13/INDEX(Monthly!$F$1:$F$500,$AE13)</f>
        <v/>
      </c>
      <c r="AB13" s="13">
        <f>(W13/$B$3)^(12/($AE13-5))-1</f>
        <v/>
      </c>
      <c r="AC13" s="12">
        <f>INDEX(Monthly!$K$1:$K$500,$AE13)</f>
        <v/>
      </c>
      <c r="AD13" s="42">
        <f>W13-AC13</f>
        <v/>
      </c>
      <c r="AE13" s="53">
        <f>'Year by year'!C9</f>
        <v/>
      </c>
      <c r="AF13" s="19">
        <f>MAX(ABS(B13/W13*100-$B$5),ABS(I13/W13*100-$C$5),ABS(P13/W13*100-$D$5),ABS(T13/W13*100-$E$5))</f>
        <v/>
      </c>
    </row>
    <row r="14">
      <c r="A14" s="11" t="inlineStr">
        <is>
          <t>2000 Dec</t>
        </is>
      </c>
      <c r="B14" s="12">
        <f>C14*D14</f>
        <v/>
      </c>
      <c r="C14" s="22">
        <f>H13</f>
        <v/>
      </c>
      <c r="D14" s="22">
        <f>INDEX(Data!$C$1:$C$500,$AE14)</f>
        <v/>
      </c>
      <c r="E14" s="51">
        <f>F14/D14</f>
        <v/>
      </c>
      <c r="F14" s="52">
        <f>IF($X14="Yes",W14*$B$5/100-B14,0)</f>
        <v/>
      </c>
      <c r="G14" s="12">
        <f>B14+F14</f>
        <v/>
      </c>
      <c r="H14" s="22">
        <f>G14/D14</f>
        <v/>
      </c>
      <c r="I14" s="12">
        <f>J14*K14</f>
        <v/>
      </c>
      <c r="J14" s="22">
        <f>O13</f>
        <v/>
      </c>
      <c r="K14" s="22">
        <f>INDEX(Data!$G$1:$G$500,$AE14)</f>
        <v/>
      </c>
      <c r="L14" s="51">
        <f>M14/K14</f>
        <v/>
      </c>
      <c r="M14" s="52">
        <f>IF($X14="Yes",W14*$C$5/100-I14,0)</f>
        <v/>
      </c>
      <c r="N14" s="12">
        <f>I14+M14</f>
        <v/>
      </c>
      <c r="O14" s="22">
        <f>N14/K14</f>
        <v/>
      </c>
      <c r="P14" s="12">
        <f>S13*INDEX(Monthly!$D$1:$D$500,$AE14)/INDEX(Monthly!$D$1:$D$500,$AE13)</f>
        <v/>
      </c>
      <c r="Q14" s="13">
        <f>INDEX(Monthly!$D$1:$D$500,$AE14)/INDEX(Monthly!$D$1:$D$500,$AE13)-1</f>
        <v/>
      </c>
      <c r="R14" s="52">
        <f>IF($X14="Yes",W14*$D$5/100-P14,0)</f>
        <v/>
      </c>
      <c r="S14" s="12">
        <f>P14+R14</f>
        <v/>
      </c>
      <c r="T14" s="12">
        <f>V13</f>
        <v/>
      </c>
      <c r="U14" s="52">
        <f>IF($X14="Yes",W14*$E$5/100-T14,0)</f>
        <v/>
      </c>
      <c r="V14" s="12">
        <f>T14+U14</f>
        <v/>
      </c>
      <c r="W14" s="11">
        <f>B14+I14+P14+T14</f>
        <v/>
      </c>
      <c r="X14" s="12">
        <f>IF(OR($B$2=0,AF14&gt;$B$2),"Yes","No")</f>
        <v/>
      </c>
      <c r="Y14" s="13">
        <f>W14/W13-1</f>
        <v/>
      </c>
      <c r="Z14" s="19">
        <f>INDEX(Data!$H$1:$H$500,$AE14)</f>
        <v/>
      </c>
      <c r="AA14" s="12">
        <f>W14/INDEX(Monthly!$F$1:$F$500,$AE14)</f>
        <v/>
      </c>
      <c r="AB14" s="13">
        <f>(W14/$B$3)^(12/($AE14-5))-1</f>
        <v/>
      </c>
      <c r="AC14" s="12">
        <f>INDEX(Monthly!$K$1:$K$500,$AE14)</f>
        <v/>
      </c>
      <c r="AD14" s="42">
        <f>W14-AC14</f>
        <v/>
      </c>
      <c r="AE14" s="53">
        <f>'Year by year'!C10</f>
        <v/>
      </c>
      <c r="AF14" s="19">
        <f>MAX(ABS(B14/W14*100-$B$5),ABS(I14/W14*100-$C$5),ABS(P14/W14*100-$D$5),ABS(T14/W14*100-$E$5))</f>
        <v/>
      </c>
    </row>
    <row r="15">
      <c r="A15" s="11" t="inlineStr">
        <is>
          <t>2001 Dec</t>
        </is>
      </c>
      <c r="B15" s="12">
        <f>C15*D15</f>
        <v/>
      </c>
      <c r="C15" s="22">
        <f>H14</f>
        <v/>
      </c>
      <c r="D15" s="22">
        <f>INDEX(Data!$C$1:$C$500,$AE15)</f>
        <v/>
      </c>
      <c r="E15" s="51">
        <f>F15/D15</f>
        <v/>
      </c>
      <c r="F15" s="52">
        <f>IF($X15="Yes",W15*$B$5/100-B15,0)</f>
        <v/>
      </c>
      <c r="G15" s="12">
        <f>B15+F15</f>
        <v/>
      </c>
      <c r="H15" s="22">
        <f>G15/D15</f>
        <v/>
      </c>
      <c r="I15" s="12">
        <f>J15*K15</f>
        <v/>
      </c>
      <c r="J15" s="22">
        <f>O14</f>
        <v/>
      </c>
      <c r="K15" s="22">
        <f>INDEX(Data!$G$1:$G$500,$AE15)</f>
        <v/>
      </c>
      <c r="L15" s="51">
        <f>M15/K15</f>
        <v/>
      </c>
      <c r="M15" s="52">
        <f>IF($X15="Yes",W15*$C$5/100-I15,0)</f>
        <v/>
      </c>
      <c r="N15" s="12">
        <f>I15+M15</f>
        <v/>
      </c>
      <c r="O15" s="22">
        <f>N15/K15</f>
        <v/>
      </c>
      <c r="P15" s="12">
        <f>S14*INDEX(Monthly!$D$1:$D$500,$AE15)/INDEX(Monthly!$D$1:$D$500,$AE14)</f>
        <v/>
      </c>
      <c r="Q15" s="13">
        <f>INDEX(Monthly!$D$1:$D$500,$AE15)/INDEX(Monthly!$D$1:$D$500,$AE14)-1</f>
        <v/>
      </c>
      <c r="R15" s="52">
        <f>IF($X15="Yes",W15*$D$5/100-P15,0)</f>
        <v/>
      </c>
      <c r="S15" s="12">
        <f>P15+R15</f>
        <v/>
      </c>
      <c r="T15" s="12">
        <f>V14</f>
        <v/>
      </c>
      <c r="U15" s="52">
        <f>IF($X15="Yes",W15*$E$5/100-T15,0)</f>
        <v/>
      </c>
      <c r="V15" s="12">
        <f>T15+U15</f>
        <v/>
      </c>
      <c r="W15" s="11">
        <f>B15+I15+P15+T15</f>
        <v/>
      </c>
      <c r="X15" s="12">
        <f>IF(OR($B$2=0,AF15&gt;$B$2),"Yes","No")</f>
        <v/>
      </c>
      <c r="Y15" s="13">
        <f>W15/W14-1</f>
        <v/>
      </c>
      <c r="Z15" s="19">
        <f>INDEX(Data!$H$1:$H$500,$AE15)</f>
        <v/>
      </c>
      <c r="AA15" s="12">
        <f>W15/INDEX(Monthly!$F$1:$F$500,$AE15)</f>
        <v/>
      </c>
      <c r="AB15" s="13">
        <f>(W15/$B$3)^(12/($AE15-5))-1</f>
        <v/>
      </c>
      <c r="AC15" s="12">
        <f>INDEX(Monthly!$K$1:$K$500,$AE15)</f>
        <v/>
      </c>
      <c r="AD15" s="42">
        <f>W15-AC15</f>
        <v/>
      </c>
      <c r="AE15" s="53">
        <f>'Year by year'!C11</f>
        <v/>
      </c>
      <c r="AF15" s="19">
        <f>MAX(ABS(B15/W15*100-$B$5),ABS(I15/W15*100-$C$5),ABS(P15/W15*100-$D$5),ABS(T15/W15*100-$E$5))</f>
        <v/>
      </c>
    </row>
    <row r="16">
      <c r="A16" s="11" t="inlineStr">
        <is>
          <t>2002 Dec</t>
        </is>
      </c>
      <c r="B16" s="12">
        <f>C16*D16</f>
        <v/>
      </c>
      <c r="C16" s="22">
        <f>H15</f>
        <v/>
      </c>
      <c r="D16" s="22">
        <f>INDEX(Data!$C$1:$C$500,$AE16)</f>
        <v/>
      </c>
      <c r="E16" s="51">
        <f>F16/D16</f>
        <v/>
      </c>
      <c r="F16" s="52">
        <f>IF($X16="Yes",W16*$B$5/100-B16,0)</f>
        <v/>
      </c>
      <c r="G16" s="12">
        <f>B16+F16</f>
        <v/>
      </c>
      <c r="H16" s="22">
        <f>G16/D16</f>
        <v/>
      </c>
      <c r="I16" s="12">
        <f>J16*K16</f>
        <v/>
      </c>
      <c r="J16" s="22">
        <f>O15</f>
        <v/>
      </c>
      <c r="K16" s="22">
        <f>INDEX(Data!$G$1:$G$500,$AE16)</f>
        <v/>
      </c>
      <c r="L16" s="51">
        <f>M16/K16</f>
        <v/>
      </c>
      <c r="M16" s="52">
        <f>IF($X16="Yes",W16*$C$5/100-I16,0)</f>
        <v/>
      </c>
      <c r="N16" s="12">
        <f>I16+M16</f>
        <v/>
      </c>
      <c r="O16" s="22">
        <f>N16/K16</f>
        <v/>
      </c>
      <c r="P16" s="12">
        <f>S15*INDEX(Monthly!$D$1:$D$500,$AE16)/INDEX(Monthly!$D$1:$D$500,$AE15)</f>
        <v/>
      </c>
      <c r="Q16" s="13">
        <f>INDEX(Monthly!$D$1:$D$500,$AE16)/INDEX(Monthly!$D$1:$D$500,$AE15)-1</f>
        <v/>
      </c>
      <c r="R16" s="52">
        <f>IF($X16="Yes",W16*$D$5/100-P16,0)</f>
        <v/>
      </c>
      <c r="S16" s="12">
        <f>P16+R16</f>
        <v/>
      </c>
      <c r="T16" s="12">
        <f>V15</f>
        <v/>
      </c>
      <c r="U16" s="52">
        <f>IF($X16="Yes",W16*$E$5/100-T16,0)</f>
        <v/>
      </c>
      <c r="V16" s="12">
        <f>T16+U16</f>
        <v/>
      </c>
      <c r="W16" s="11">
        <f>B16+I16+P16+T16</f>
        <v/>
      </c>
      <c r="X16" s="12">
        <f>IF(OR($B$2=0,AF16&gt;$B$2),"Yes","No")</f>
        <v/>
      </c>
      <c r="Y16" s="13">
        <f>W16/W15-1</f>
        <v/>
      </c>
      <c r="Z16" s="19">
        <f>INDEX(Data!$H$1:$H$500,$AE16)</f>
        <v/>
      </c>
      <c r="AA16" s="12">
        <f>W16/INDEX(Monthly!$F$1:$F$500,$AE16)</f>
        <v/>
      </c>
      <c r="AB16" s="13">
        <f>(W16/$B$3)^(12/($AE16-5))-1</f>
        <v/>
      </c>
      <c r="AC16" s="12">
        <f>INDEX(Monthly!$K$1:$K$500,$AE16)</f>
        <v/>
      </c>
      <c r="AD16" s="42">
        <f>W16-AC16</f>
        <v/>
      </c>
      <c r="AE16" s="53">
        <f>'Year by year'!C12</f>
        <v/>
      </c>
      <c r="AF16" s="19">
        <f>MAX(ABS(B16/W16*100-$B$5),ABS(I16/W16*100-$C$5),ABS(P16/W16*100-$D$5),ABS(T16/W16*100-$E$5))</f>
        <v/>
      </c>
    </row>
    <row r="17">
      <c r="A17" s="11" t="inlineStr">
        <is>
          <t>2003 Dec</t>
        </is>
      </c>
      <c r="B17" s="12">
        <f>C17*D17</f>
        <v/>
      </c>
      <c r="C17" s="22">
        <f>H16</f>
        <v/>
      </c>
      <c r="D17" s="22">
        <f>INDEX(Data!$C$1:$C$500,$AE17)</f>
        <v/>
      </c>
      <c r="E17" s="51">
        <f>F17/D17</f>
        <v/>
      </c>
      <c r="F17" s="52">
        <f>IF($X17="Yes",W17*$B$5/100-B17,0)</f>
        <v/>
      </c>
      <c r="G17" s="12">
        <f>B17+F17</f>
        <v/>
      </c>
      <c r="H17" s="22">
        <f>G17/D17</f>
        <v/>
      </c>
      <c r="I17" s="12">
        <f>J17*K17</f>
        <v/>
      </c>
      <c r="J17" s="22">
        <f>O16</f>
        <v/>
      </c>
      <c r="K17" s="22">
        <f>INDEX(Data!$G$1:$G$500,$AE17)</f>
        <v/>
      </c>
      <c r="L17" s="51">
        <f>M17/K17</f>
        <v/>
      </c>
      <c r="M17" s="52">
        <f>IF($X17="Yes",W17*$C$5/100-I17,0)</f>
        <v/>
      </c>
      <c r="N17" s="12">
        <f>I17+M17</f>
        <v/>
      </c>
      <c r="O17" s="22">
        <f>N17/K17</f>
        <v/>
      </c>
      <c r="P17" s="12">
        <f>S16*INDEX(Monthly!$D$1:$D$500,$AE17)/INDEX(Monthly!$D$1:$D$500,$AE16)</f>
        <v/>
      </c>
      <c r="Q17" s="13">
        <f>INDEX(Monthly!$D$1:$D$500,$AE17)/INDEX(Monthly!$D$1:$D$500,$AE16)-1</f>
        <v/>
      </c>
      <c r="R17" s="52">
        <f>IF($X17="Yes",W17*$D$5/100-P17,0)</f>
        <v/>
      </c>
      <c r="S17" s="12">
        <f>P17+R17</f>
        <v/>
      </c>
      <c r="T17" s="12">
        <f>V16</f>
        <v/>
      </c>
      <c r="U17" s="52">
        <f>IF($X17="Yes",W17*$E$5/100-T17,0)</f>
        <v/>
      </c>
      <c r="V17" s="12">
        <f>T17+U17</f>
        <v/>
      </c>
      <c r="W17" s="11">
        <f>B17+I17+P17+T17</f>
        <v/>
      </c>
      <c r="X17" s="12">
        <f>IF(OR($B$2=0,AF17&gt;$B$2),"Yes","No")</f>
        <v/>
      </c>
      <c r="Y17" s="13">
        <f>W17/W16-1</f>
        <v/>
      </c>
      <c r="Z17" s="19">
        <f>INDEX(Data!$H$1:$H$500,$AE17)</f>
        <v/>
      </c>
      <c r="AA17" s="12">
        <f>W17/INDEX(Monthly!$F$1:$F$500,$AE17)</f>
        <v/>
      </c>
      <c r="AB17" s="13">
        <f>(W17/$B$3)^(12/($AE17-5))-1</f>
        <v/>
      </c>
      <c r="AC17" s="12">
        <f>INDEX(Monthly!$K$1:$K$500,$AE17)</f>
        <v/>
      </c>
      <c r="AD17" s="42">
        <f>W17-AC17</f>
        <v/>
      </c>
      <c r="AE17" s="53">
        <f>'Year by year'!C13</f>
        <v/>
      </c>
      <c r="AF17" s="19">
        <f>MAX(ABS(B17/W17*100-$B$5),ABS(I17/W17*100-$C$5),ABS(P17/W17*100-$D$5),ABS(T17/W17*100-$E$5))</f>
        <v/>
      </c>
    </row>
    <row r="18">
      <c r="A18" s="11" t="inlineStr">
        <is>
          <t>2004 Dec</t>
        </is>
      </c>
      <c r="B18" s="12">
        <f>C18*D18</f>
        <v/>
      </c>
      <c r="C18" s="22">
        <f>H17</f>
        <v/>
      </c>
      <c r="D18" s="22">
        <f>INDEX(Data!$C$1:$C$500,$AE18)</f>
        <v/>
      </c>
      <c r="E18" s="51">
        <f>F18/D18</f>
        <v/>
      </c>
      <c r="F18" s="52">
        <f>IF($X18="Yes",W18*$B$5/100-B18,0)</f>
        <v/>
      </c>
      <c r="G18" s="12">
        <f>B18+F18</f>
        <v/>
      </c>
      <c r="H18" s="22">
        <f>G18/D18</f>
        <v/>
      </c>
      <c r="I18" s="12">
        <f>J18*K18</f>
        <v/>
      </c>
      <c r="J18" s="22">
        <f>O17</f>
        <v/>
      </c>
      <c r="K18" s="22">
        <f>INDEX(Data!$G$1:$G$500,$AE18)</f>
        <v/>
      </c>
      <c r="L18" s="51">
        <f>M18/K18</f>
        <v/>
      </c>
      <c r="M18" s="52">
        <f>IF($X18="Yes",W18*$C$5/100-I18,0)</f>
        <v/>
      </c>
      <c r="N18" s="12">
        <f>I18+M18</f>
        <v/>
      </c>
      <c r="O18" s="22">
        <f>N18/K18</f>
        <v/>
      </c>
      <c r="P18" s="12">
        <f>S17*INDEX(Monthly!$D$1:$D$500,$AE18)/INDEX(Monthly!$D$1:$D$500,$AE17)</f>
        <v/>
      </c>
      <c r="Q18" s="13">
        <f>INDEX(Monthly!$D$1:$D$500,$AE18)/INDEX(Monthly!$D$1:$D$500,$AE17)-1</f>
        <v/>
      </c>
      <c r="R18" s="52">
        <f>IF($X18="Yes",W18*$D$5/100-P18,0)</f>
        <v/>
      </c>
      <c r="S18" s="12">
        <f>P18+R18</f>
        <v/>
      </c>
      <c r="T18" s="12">
        <f>V17</f>
        <v/>
      </c>
      <c r="U18" s="52">
        <f>IF($X18="Yes",W18*$E$5/100-T18,0)</f>
        <v/>
      </c>
      <c r="V18" s="12">
        <f>T18+U18</f>
        <v/>
      </c>
      <c r="W18" s="11">
        <f>B18+I18+P18+T18</f>
        <v/>
      </c>
      <c r="X18" s="12">
        <f>IF(OR($B$2=0,AF18&gt;$B$2),"Yes","No")</f>
        <v/>
      </c>
      <c r="Y18" s="13">
        <f>W18/W17-1</f>
        <v/>
      </c>
      <c r="Z18" s="19">
        <f>INDEX(Data!$H$1:$H$500,$AE18)</f>
        <v/>
      </c>
      <c r="AA18" s="12">
        <f>W18/INDEX(Monthly!$F$1:$F$500,$AE18)</f>
        <v/>
      </c>
      <c r="AB18" s="13">
        <f>(W18/$B$3)^(12/($AE18-5))-1</f>
        <v/>
      </c>
      <c r="AC18" s="12">
        <f>INDEX(Monthly!$K$1:$K$500,$AE18)</f>
        <v/>
      </c>
      <c r="AD18" s="42">
        <f>W18-AC18</f>
        <v/>
      </c>
      <c r="AE18" s="53">
        <f>'Year by year'!C14</f>
        <v/>
      </c>
      <c r="AF18" s="19">
        <f>MAX(ABS(B18/W18*100-$B$5),ABS(I18/W18*100-$C$5),ABS(P18/W18*100-$D$5),ABS(T18/W18*100-$E$5))</f>
        <v/>
      </c>
    </row>
    <row r="19">
      <c r="A19" s="11" t="inlineStr">
        <is>
          <t>2005 Dec</t>
        </is>
      </c>
      <c r="B19" s="12">
        <f>C19*D19</f>
        <v/>
      </c>
      <c r="C19" s="22">
        <f>H18</f>
        <v/>
      </c>
      <c r="D19" s="22">
        <f>INDEX(Data!$C$1:$C$500,$AE19)</f>
        <v/>
      </c>
      <c r="E19" s="51">
        <f>F19/D19</f>
        <v/>
      </c>
      <c r="F19" s="52">
        <f>IF($X19="Yes",W19*$B$5/100-B19,0)</f>
        <v/>
      </c>
      <c r="G19" s="12">
        <f>B19+F19</f>
        <v/>
      </c>
      <c r="H19" s="22">
        <f>G19/D19</f>
        <v/>
      </c>
      <c r="I19" s="12">
        <f>J19*K19</f>
        <v/>
      </c>
      <c r="J19" s="22">
        <f>O18</f>
        <v/>
      </c>
      <c r="K19" s="22">
        <f>INDEX(Data!$G$1:$G$500,$AE19)</f>
        <v/>
      </c>
      <c r="L19" s="51">
        <f>M19/K19</f>
        <v/>
      </c>
      <c r="M19" s="52">
        <f>IF($X19="Yes",W19*$C$5/100-I19,0)</f>
        <v/>
      </c>
      <c r="N19" s="12">
        <f>I19+M19</f>
        <v/>
      </c>
      <c r="O19" s="22">
        <f>N19/K19</f>
        <v/>
      </c>
      <c r="P19" s="12">
        <f>S18*INDEX(Monthly!$D$1:$D$500,$AE19)/INDEX(Monthly!$D$1:$D$500,$AE18)</f>
        <v/>
      </c>
      <c r="Q19" s="13">
        <f>INDEX(Monthly!$D$1:$D$500,$AE19)/INDEX(Monthly!$D$1:$D$500,$AE18)-1</f>
        <v/>
      </c>
      <c r="R19" s="52">
        <f>IF($X19="Yes",W19*$D$5/100-P19,0)</f>
        <v/>
      </c>
      <c r="S19" s="12">
        <f>P19+R19</f>
        <v/>
      </c>
      <c r="T19" s="12">
        <f>V18</f>
        <v/>
      </c>
      <c r="U19" s="52">
        <f>IF($X19="Yes",W19*$E$5/100-T19,0)</f>
        <v/>
      </c>
      <c r="V19" s="12">
        <f>T19+U19</f>
        <v/>
      </c>
      <c r="W19" s="11">
        <f>B19+I19+P19+T19</f>
        <v/>
      </c>
      <c r="X19" s="12">
        <f>IF(OR($B$2=0,AF19&gt;$B$2),"Yes","No")</f>
        <v/>
      </c>
      <c r="Y19" s="13">
        <f>W19/W18-1</f>
        <v/>
      </c>
      <c r="Z19" s="19">
        <f>INDEX(Data!$H$1:$H$500,$AE19)</f>
        <v/>
      </c>
      <c r="AA19" s="12">
        <f>W19/INDEX(Monthly!$F$1:$F$500,$AE19)</f>
        <v/>
      </c>
      <c r="AB19" s="13">
        <f>(W19/$B$3)^(12/($AE19-5))-1</f>
        <v/>
      </c>
      <c r="AC19" s="12">
        <f>INDEX(Monthly!$K$1:$K$500,$AE19)</f>
        <v/>
      </c>
      <c r="AD19" s="42">
        <f>W19-AC19</f>
        <v/>
      </c>
      <c r="AE19" s="53">
        <f>'Year by year'!C15</f>
        <v/>
      </c>
      <c r="AF19" s="19">
        <f>MAX(ABS(B19/W19*100-$B$5),ABS(I19/W19*100-$C$5),ABS(P19/W19*100-$D$5),ABS(T19/W19*100-$E$5))</f>
        <v/>
      </c>
    </row>
    <row r="20">
      <c r="A20" s="11" t="inlineStr">
        <is>
          <t>2006 Dec</t>
        </is>
      </c>
      <c r="B20" s="12">
        <f>C20*D20</f>
        <v/>
      </c>
      <c r="C20" s="22">
        <f>H19</f>
        <v/>
      </c>
      <c r="D20" s="22">
        <f>INDEX(Data!$C$1:$C$500,$AE20)</f>
        <v/>
      </c>
      <c r="E20" s="51">
        <f>F20/D20</f>
        <v/>
      </c>
      <c r="F20" s="52">
        <f>IF($X20="Yes",W20*$B$5/100-B20,0)</f>
        <v/>
      </c>
      <c r="G20" s="12">
        <f>B20+F20</f>
        <v/>
      </c>
      <c r="H20" s="22">
        <f>G20/D20</f>
        <v/>
      </c>
      <c r="I20" s="12">
        <f>J20*K20</f>
        <v/>
      </c>
      <c r="J20" s="22">
        <f>O19</f>
        <v/>
      </c>
      <c r="K20" s="22">
        <f>INDEX(Data!$G$1:$G$500,$AE20)</f>
        <v/>
      </c>
      <c r="L20" s="51">
        <f>M20/K20</f>
        <v/>
      </c>
      <c r="M20" s="52">
        <f>IF($X20="Yes",W20*$C$5/100-I20,0)</f>
        <v/>
      </c>
      <c r="N20" s="12">
        <f>I20+M20</f>
        <v/>
      </c>
      <c r="O20" s="22">
        <f>N20/K20</f>
        <v/>
      </c>
      <c r="P20" s="12">
        <f>S19*INDEX(Monthly!$D$1:$D$500,$AE20)/INDEX(Monthly!$D$1:$D$500,$AE19)</f>
        <v/>
      </c>
      <c r="Q20" s="13">
        <f>INDEX(Monthly!$D$1:$D$500,$AE20)/INDEX(Monthly!$D$1:$D$500,$AE19)-1</f>
        <v/>
      </c>
      <c r="R20" s="52">
        <f>IF($X20="Yes",W20*$D$5/100-P20,0)</f>
        <v/>
      </c>
      <c r="S20" s="12">
        <f>P20+R20</f>
        <v/>
      </c>
      <c r="T20" s="12">
        <f>V19</f>
        <v/>
      </c>
      <c r="U20" s="52">
        <f>IF($X20="Yes",W20*$E$5/100-T20,0)</f>
        <v/>
      </c>
      <c r="V20" s="12">
        <f>T20+U20</f>
        <v/>
      </c>
      <c r="W20" s="11">
        <f>B20+I20+P20+T20</f>
        <v/>
      </c>
      <c r="X20" s="12">
        <f>IF(OR($B$2=0,AF20&gt;$B$2),"Yes","No")</f>
        <v/>
      </c>
      <c r="Y20" s="13">
        <f>W20/W19-1</f>
        <v/>
      </c>
      <c r="Z20" s="19">
        <f>INDEX(Data!$H$1:$H$500,$AE20)</f>
        <v/>
      </c>
      <c r="AA20" s="12">
        <f>W20/INDEX(Monthly!$F$1:$F$500,$AE20)</f>
        <v/>
      </c>
      <c r="AB20" s="13">
        <f>(W20/$B$3)^(12/($AE20-5))-1</f>
        <v/>
      </c>
      <c r="AC20" s="12">
        <f>INDEX(Monthly!$K$1:$K$500,$AE20)</f>
        <v/>
      </c>
      <c r="AD20" s="42">
        <f>W20-AC20</f>
        <v/>
      </c>
      <c r="AE20" s="53">
        <f>'Year by year'!C16</f>
        <v/>
      </c>
      <c r="AF20" s="19">
        <f>MAX(ABS(B20/W20*100-$B$5),ABS(I20/W20*100-$C$5),ABS(P20/W20*100-$D$5),ABS(T20/W20*100-$E$5))</f>
        <v/>
      </c>
    </row>
    <row r="21">
      <c r="A21" s="11" t="inlineStr">
        <is>
          <t>2007 Dec</t>
        </is>
      </c>
      <c r="B21" s="12">
        <f>C21*D21</f>
        <v/>
      </c>
      <c r="C21" s="22">
        <f>H20</f>
        <v/>
      </c>
      <c r="D21" s="22">
        <f>INDEX(Data!$C$1:$C$500,$AE21)</f>
        <v/>
      </c>
      <c r="E21" s="51">
        <f>F21/D21</f>
        <v/>
      </c>
      <c r="F21" s="52">
        <f>IF($X21="Yes",W21*$B$5/100-B21,0)</f>
        <v/>
      </c>
      <c r="G21" s="12">
        <f>B21+F21</f>
        <v/>
      </c>
      <c r="H21" s="22">
        <f>G21/D21</f>
        <v/>
      </c>
      <c r="I21" s="12">
        <f>J21*K21</f>
        <v/>
      </c>
      <c r="J21" s="22">
        <f>O20</f>
        <v/>
      </c>
      <c r="K21" s="22">
        <f>INDEX(Data!$G$1:$G$500,$AE21)</f>
        <v/>
      </c>
      <c r="L21" s="51">
        <f>M21/K21</f>
        <v/>
      </c>
      <c r="M21" s="52">
        <f>IF($X21="Yes",W21*$C$5/100-I21,0)</f>
        <v/>
      </c>
      <c r="N21" s="12">
        <f>I21+M21</f>
        <v/>
      </c>
      <c r="O21" s="22">
        <f>N21/K21</f>
        <v/>
      </c>
      <c r="P21" s="12">
        <f>S20*INDEX(Monthly!$D$1:$D$500,$AE21)/INDEX(Monthly!$D$1:$D$500,$AE20)</f>
        <v/>
      </c>
      <c r="Q21" s="13">
        <f>INDEX(Monthly!$D$1:$D$500,$AE21)/INDEX(Monthly!$D$1:$D$500,$AE20)-1</f>
        <v/>
      </c>
      <c r="R21" s="52">
        <f>IF($X21="Yes",W21*$D$5/100-P21,0)</f>
        <v/>
      </c>
      <c r="S21" s="12">
        <f>P21+R21</f>
        <v/>
      </c>
      <c r="T21" s="12">
        <f>V20</f>
        <v/>
      </c>
      <c r="U21" s="52">
        <f>IF($X21="Yes",W21*$E$5/100-T21,0)</f>
        <v/>
      </c>
      <c r="V21" s="12">
        <f>T21+U21</f>
        <v/>
      </c>
      <c r="W21" s="11">
        <f>B21+I21+P21+T21</f>
        <v/>
      </c>
      <c r="X21" s="12">
        <f>IF(OR($B$2=0,AF21&gt;$B$2),"Yes","No")</f>
        <v/>
      </c>
      <c r="Y21" s="13">
        <f>W21/W20-1</f>
        <v/>
      </c>
      <c r="Z21" s="19">
        <f>INDEX(Data!$H$1:$H$500,$AE21)</f>
        <v/>
      </c>
      <c r="AA21" s="12">
        <f>W21/INDEX(Monthly!$F$1:$F$500,$AE21)</f>
        <v/>
      </c>
      <c r="AB21" s="13">
        <f>(W21/$B$3)^(12/($AE21-5))-1</f>
        <v/>
      </c>
      <c r="AC21" s="12">
        <f>INDEX(Monthly!$K$1:$K$500,$AE21)</f>
        <v/>
      </c>
      <c r="AD21" s="42">
        <f>W21-AC21</f>
        <v/>
      </c>
      <c r="AE21" s="53">
        <f>'Year by year'!C17</f>
        <v/>
      </c>
      <c r="AF21" s="19">
        <f>MAX(ABS(B21/W21*100-$B$5),ABS(I21/W21*100-$C$5),ABS(P21/W21*100-$D$5),ABS(T21/W21*100-$E$5))</f>
        <v/>
      </c>
    </row>
    <row r="22">
      <c r="A22" s="11" t="inlineStr">
        <is>
          <t>2008 Dec</t>
        </is>
      </c>
      <c r="B22" s="12">
        <f>C22*D22</f>
        <v/>
      </c>
      <c r="C22" s="22">
        <f>H21</f>
        <v/>
      </c>
      <c r="D22" s="22">
        <f>INDEX(Data!$C$1:$C$500,$AE22)</f>
        <v/>
      </c>
      <c r="E22" s="51">
        <f>F22/D22</f>
        <v/>
      </c>
      <c r="F22" s="52">
        <f>IF($X22="Yes",W22*$B$5/100-B22,0)</f>
        <v/>
      </c>
      <c r="G22" s="12">
        <f>B22+F22</f>
        <v/>
      </c>
      <c r="H22" s="22">
        <f>G22/D22</f>
        <v/>
      </c>
      <c r="I22" s="12">
        <f>J22*K22</f>
        <v/>
      </c>
      <c r="J22" s="22">
        <f>O21</f>
        <v/>
      </c>
      <c r="K22" s="22">
        <f>INDEX(Data!$G$1:$G$500,$AE22)</f>
        <v/>
      </c>
      <c r="L22" s="51">
        <f>M22/K22</f>
        <v/>
      </c>
      <c r="M22" s="52">
        <f>IF($X22="Yes",W22*$C$5/100-I22,0)</f>
        <v/>
      </c>
      <c r="N22" s="12">
        <f>I22+M22</f>
        <v/>
      </c>
      <c r="O22" s="22">
        <f>N22/K22</f>
        <v/>
      </c>
      <c r="P22" s="12">
        <f>S21*INDEX(Monthly!$D$1:$D$500,$AE22)/INDEX(Monthly!$D$1:$D$500,$AE21)</f>
        <v/>
      </c>
      <c r="Q22" s="13">
        <f>INDEX(Monthly!$D$1:$D$500,$AE22)/INDEX(Monthly!$D$1:$D$500,$AE21)-1</f>
        <v/>
      </c>
      <c r="R22" s="52">
        <f>IF($X22="Yes",W22*$D$5/100-P22,0)</f>
        <v/>
      </c>
      <c r="S22" s="12">
        <f>P22+R22</f>
        <v/>
      </c>
      <c r="T22" s="12">
        <f>V21</f>
        <v/>
      </c>
      <c r="U22" s="52">
        <f>IF($X22="Yes",W22*$E$5/100-T22,0)</f>
        <v/>
      </c>
      <c r="V22" s="12">
        <f>T22+U22</f>
        <v/>
      </c>
      <c r="W22" s="11">
        <f>B22+I22+P22+T22</f>
        <v/>
      </c>
      <c r="X22" s="12">
        <f>IF(OR($B$2=0,AF22&gt;$B$2),"Yes","No")</f>
        <v/>
      </c>
      <c r="Y22" s="13">
        <f>W22/W21-1</f>
        <v/>
      </c>
      <c r="Z22" s="19">
        <f>INDEX(Data!$H$1:$H$500,$AE22)</f>
        <v/>
      </c>
      <c r="AA22" s="12">
        <f>W22/INDEX(Monthly!$F$1:$F$500,$AE22)</f>
        <v/>
      </c>
      <c r="AB22" s="13">
        <f>(W22/$B$3)^(12/($AE22-5))-1</f>
        <v/>
      </c>
      <c r="AC22" s="12">
        <f>INDEX(Monthly!$K$1:$K$500,$AE22)</f>
        <v/>
      </c>
      <c r="AD22" s="42">
        <f>W22-AC22</f>
        <v/>
      </c>
      <c r="AE22" s="53">
        <f>'Year by year'!C18</f>
        <v/>
      </c>
      <c r="AF22" s="19">
        <f>MAX(ABS(B22/W22*100-$B$5),ABS(I22/W22*100-$C$5),ABS(P22/W22*100-$D$5),ABS(T22/W22*100-$E$5))</f>
        <v/>
      </c>
    </row>
    <row r="23">
      <c r="A23" s="11" t="inlineStr">
        <is>
          <t>2009 Dec</t>
        </is>
      </c>
      <c r="B23" s="12">
        <f>C23*D23</f>
        <v/>
      </c>
      <c r="C23" s="22">
        <f>H22</f>
        <v/>
      </c>
      <c r="D23" s="22">
        <f>INDEX(Data!$C$1:$C$500,$AE23)</f>
        <v/>
      </c>
      <c r="E23" s="51">
        <f>F23/D23</f>
        <v/>
      </c>
      <c r="F23" s="52">
        <f>IF($X23="Yes",W23*$B$5/100-B23,0)</f>
        <v/>
      </c>
      <c r="G23" s="12">
        <f>B23+F23</f>
        <v/>
      </c>
      <c r="H23" s="22">
        <f>G23/D23</f>
        <v/>
      </c>
      <c r="I23" s="12">
        <f>J23*K23</f>
        <v/>
      </c>
      <c r="J23" s="22">
        <f>O22</f>
        <v/>
      </c>
      <c r="K23" s="22">
        <f>INDEX(Data!$G$1:$G$500,$AE23)</f>
        <v/>
      </c>
      <c r="L23" s="51">
        <f>M23/K23</f>
        <v/>
      </c>
      <c r="M23" s="52">
        <f>IF($X23="Yes",W23*$C$5/100-I23,0)</f>
        <v/>
      </c>
      <c r="N23" s="12">
        <f>I23+M23</f>
        <v/>
      </c>
      <c r="O23" s="22">
        <f>N23/K23</f>
        <v/>
      </c>
      <c r="P23" s="12">
        <f>S22*INDEX(Monthly!$D$1:$D$500,$AE23)/INDEX(Monthly!$D$1:$D$500,$AE22)</f>
        <v/>
      </c>
      <c r="Q23" s="13">
        <f>INDEX(Monthly!$D$1:$D$500,$AE23)/INDEX(Monthly!$D$1:$D$500,$AE22)-1</f>
        <v/>
      </c>
      <c r="R23" s="52">
        <f>IF($X23="Yes",W23*$D$5/100-P23,0)</f>
        <v/>
      </c>
      <c r="S23" s="12">
        <f>P23+R23</f>
        <v/>
      </c>
      <c r="T23" s="12">
        <f>V22</f>
        <v/>
      </c>
      <c r="U23" s="52">
        <f>IF($X23="Yes",W23*$E$5/100-T23,0)</f>
        <v/>
      </c>
      <c r="V23" s="12">
        <f>T23+U23</f>
        <v/>
      </c>
      <c r="W23" s="11">
        <f>B23+I23+P23+T23</f>
        <v/>
      </c>
      <c r="X23" s="12">
        <f>IF(OR($B$2=0,AF23&gt;$B$2),"Yes","No")</f>
        <v/>
      </c>
      <c r="Y23" s="13">
        <f>W23/W22-1</f>
        <v/>
      </c>
      <c r="Z23" s="19">
        <f>INDEX(Data!$H$1:$H$500,$AE23)</f>
        <v/>
      </c>
      <c r="AA23" s="12">
        <f>W23/INDEX(Monthly!$F$1:$F$500,$AE23)</f>
        <v/>
      </c>
      <c r="AB23" s="13">
        <f>(W23/$B$3)^(12/($AE23-5))-1</f>
        <v/>
      </c>
      <c r="AC23" s="12">
        <f>INDEX(Monthly!$K$1:$K$500,$AE23)</f>
        <v/>
      </c>
      <c r="AD23" s="42">
        <f>W23-AC23</f>
        <v/>
      </c>
      <c r="AE23" s="53">
        <f>'Year by year'!C19</f>
        <v/>
      </c>
      <c r="AF23" s="19">
        <f>MAX(ABS(B23/W23*100-$B$5),ABS(I23/W23*100-$C$5),ABS(P23/W23*100-$D$5),ABS(T23/W23*100-$E$5))</f>
        <v/>
      </c>
    </row>
    <row r="24">
      <c r="A24" s="11" t="inlineStr">
        <is>
          <t>2010 Dec</t>
        </is>
      </c>
      <c r="B24" s="12">
        <f>C24*D24</f>
        <v/>
      </c>
      <c r="C24" s="22">
        <f>H23</f>
        <v/>
      </c>
      <c r="D24" s="22">
        <f>INDEX(Data!$C$1:$C$500,$AE24)</f>
        <v/>
      </c>
      <c r="E24" s="51">
        <f>F24/D24</f>
        <v/>
      </c>
      <c r="F24" s="52">
        <f>IF($X24="Yes",W24*$B$5/100-B24,0)</f>
        <v/>
      </c>
      <c r="G24" s="12">
        <f>B24+F24</f>
        <v/>
      </c>
      <c r="H24" s="22">
        <f>G24/D24</f>
        <v/>
      </c>
      <c r="I24" s="12">
        <f>J24*K24</f>
        <v/>
      </c>
      <c r="J24" s="22">
        <f>O23</f>
        <v/>
      </c>
      <c r="K24" s="22">
        <f>INDEX(Data!$G$1:$G$500,$AE24)</f>
        <v/>
      </c>
      <c r="L24" s="51">
        <f>M24/K24</f>
        <v/>
      </c>
      <c r="M24" s="52">
        <f>IF($X24="Yes",W24*$C$5/100-I24,0)</f>
        <v/>
      </c>
      <c r="N24" s="12">
        <f>I24+M24</f>
        <v/>
      </c>
      <c r="O24" s="22">
        <f>N24/K24</f>
        <v/>
      </c>
      <c r="P24" s="12">
        <f>S23*INDEX(Monthly!$D$1:$D$500,$AE24)/INDEX(Monthly!$D$1:$D$500,$AE23)</f>
        <v/>
      </c>
      <c r="Q24" s="13">
        <f>INDEX(Monthly!$D$1:$D$500,$AE24)/INDEX(Monthly!$D$1:$D$500,$AE23)-1</f>
        <v/>
      </c>
      <c r="R24" s="52">
        <f>IF($X24="Yes",W24*$D$5/100-P24,0)</f>
        <v/>
      </c>
      <c r="S24" s="12">
        <f>P24+R24</f>
        <v/>
      </c>
      <c r="T24" s="12">
        <f>V23</f>
        <v/>
      </c>
      <c r="U24" s="52">
        <f>IF($X24="Yes",W24*$E$5/100-T24,0)</f>
        <v/>
      </c>
      <c r="V24" s="12">
        <f>T24+U24</f>
        <v/>
      </c>
      <c r="W24" s="11">
        <f>B24+I24+P24+T24</f>
        <v/>
      </c>
      <c r="X24" s="12">
        <f>IF(OR($B$2=0,AF24&gt;$B$2),"Yes","No")</f>
        <v/>
      </c>
      <c r="Y24" s="13">
        <f>W24/W23-1</f>
        <v/>
      </c>
      <c r="Z24" s="19">
        <f>INDEX(Data!$H$1:$H$500,$AE24)</f>
        <v/>
      </c>
      <c r="AA24" s="12">
        <f>W24/INDEX(Monthly!$F$1:$F$500,$AE24)</f>
        <v/>
      </c>
      <c r="AB24" s="13">
        <f>(W24/$B$3)^(12/($AE24-5))-1</f>
        <v/>
      </c>
      <c r="AC24" s="12">
        <f>INDEX(Monthly!$K$1:$K$500,$AE24)</f>
        <v/>
      </c>
      <c r="AD24" s="42">
        <f>W24-AC24</f>
        <v/>
      </c>
      <c r="AE24" s="53">
        <f>'Year by year'!C20</f>
        <v/>
      </c>
      <c r="AF24" s="19">
        <f>MAX(ABS(B24/W24*100-$B$5),ABS(I24/W24*100-$C$5),ABS(P24/W24*100-$D$5),ABS(T24/W24*100-$E$5))</f>
        <v/>
      </c>
    </row>
    <row r="25">
      <c r="A25" s="11" t="inlineStr">
        <is>
          <t>2011 Dec</t>
        </is>
      </c>
      <c r="B25" s="12">
        <f>C25*D25</f>
        <v/>
      </c>
      <c r="C25" s="22">
        <f>H24</f>
        <v/>
      </c>
      <c r="D25" s="22">
        <f>INDEX(Data!$C$1:$C$500,$AE25)</f>
        <v/>
      </c>
      <c r="E25" s="51">
        <f>F25/D25</f>
        <v/>
      </c>
      <c r="F25" s="52">
        <f>IF($X25="Yes",W25*$B$5/100-B25,0)</f>
        <v/>
      </c>
      <c r="G25" s="12">
        <f>B25+F25</f>
        <v/>
      </c>
      <c r="H25" s="22">
        <f>G25/D25</f>
        <v/>
      </c>
      <c r="I25" s="12">
        <f>J25*K25</f>
        <v/>
      </c>
      <c r="J25" s="22">
        <f>O24</f>
        <v/>
      </c>
      <c r="K25" s="22">
        <f>INDEX(Data!$G$1:$G$500,$AE25)</f>
        <v/>
      </c>
      <c r="L25" s="51">
        <f>M25/K25</f>
        <v/>
      </c>
      <c r="M25" s="52">
        <f>IF($X25="Yes",W25*$C$5/100-I25,0)</f>
        <v/>
      </c>
      <c r="N25" s="12">
        <f>I25+M25</f>
        <v/>
      </c>
      <c r="O25" s="22">
        <f>N25/K25</f>
        <v/>
      </c>
      <c r="P25" s="12">
        <f>S24*INDEX(Monthly!$D$1:$D$500,$AE25)/INDEX(Monthly!$D$1:$D$500,$AE24)</f>
        <v/>
      </c>
      <c r="Q25" s="13">
        <f>INDEX(Monthly!$D$1:$D$500,$AE25)/INDEX(Monthly!$D$1:$D$500,$AE24)-1</f>
        <v/>
      </c>
      <c r="R25" s="52">
        <f>IF($X25="Yes",W25*$D$5/100-P25,0)</f>
        <v/>
      </c>
      <c r="S25" s="12">
        <f>P25+R25</f>
        <v/>
      </c>
      <c r="T25" s="12">
        <f>V24</f>
        <v/>
      </c>
      <c r="U25" s="52">
        <f>IF($X25="Yes",W25*$E$5/100-T25,0)</f>
        <v/>
      </c>
      <c r="V25" s="12">
        <f>T25+U25</f>
        <v/>
      </c>
      <c r="W25" s="11">
        <f>B25+I25+P25+T25</f>
        <v/>
      </c>
      <c r="X25" s="12">
        <f>IF(OR($B$2=0,AF25&gt;$B$2),"Yes","No")</f>
        <v/>
      </c>
      <c r="Y25" s="13">
        <f>W25/W24-1</f>
        <v/>
      </c>
      <c r="Z25" s="19">
        <f>INDEX(Data!$H$1:$H$500,$AE25)</f>
        <v/>
      </c>
      <c r="AA25" s="12">
        <f>W25/INDEX(Monthly!$F$1:$F$500,$AE25)</f>
        <v/>
      </c>
      <c r="AB25" s="13">
        <f>(W25/$B$3)^(12/($AE25-5))-1</f>
        <v/>
      </c>
      <c r="AC25" s="12">
        <f>INDEX(Monthly!$K$1:$K$500,$AE25)</f>
        <v/>
      </c>
      <c r="AD25" s="42">
        <f>W25-AC25</f>
        <v/>
      </c>
      <c r="AE25" s="53">
        <f>'Year by year'!C21</f>
        <v/>
      </c>
      <c r="AF25" s="19">
        <f>MAX(ABS(B25/W25*100-$B$5),ABS(I25/W25*100-$C$5),ABS(P25/W25*100-$D$5),ABS(T25/W25*100-$E$5))</f>
        <v/>
      </c>
    </row>
    <row r="26">
      <c r="A26" s="11" t="inlineStr">
        <is>
          <t>2012 Dec</t>
        </is>
      </c>
      <c r="B26" s="12">
        <f>C26*D26</f>
        <v/>
      </c>
      <c r="C26" s="22">
        <f>H25</f>
        <v/>
      </c>
      <c r="D26" s="22">
        <f>INDEX(Data!$C$1:$C$500,$AE26)</f>
        <v/>
      </c>
      <c r="E26" s="51">
        <f>F26/D26</f>
        <v/>
      </c>
      <c r="F26" s="52">
        <f>IF($X26="Yes",W26*$B$5/100-B26,0)</f>
        <v/>
      </c>
      <c r="G26" s="12">
        <f>B26+F26</f>
        <v/>
      </c>
      <c r="H26" s="22">
        <f>G26/D26</f>
        <v/>
      </c>
      <c r="I26" s="12">
        <f>J26*K26</f>
        <v/>
      </c>
      <c r="J26" s="22">
        <f>O25</f>
        <v/>
      </c>
      <c r="K26" s="22">
        <f>INDEX(Data!$G$1:$G$500,$AE26)</f>
        <v/>
      </c>
      <c r="L26" s="51">
        <f>M26/K26</f>
        <v/>
      </c>
      <c r="M26" s="52">
        <f>IF($X26="Yes",W26*$C$5/100-I26,0)</f>
        <v/>
      </c>
      <c r="N26" s="12">
        <f>I26+M26</f>
        <v/>
      </c>
      <c r="O26" s="22">
        <f>N26/K26</f>
        <v/>
      </c>
      <c r="P26" s="12">
        <f>S25*INDEX(Monthly!$D$1:$D$500,$AE26)/INDEX(Monthly!$D$1:$D$500,$AE25)</f>
        <v/>
      </c>
      <c r="Q26" s="13">
        <f>INDEX(Monthly!$D$1:$D$500,$AE26)/INDEX(Monthly!$D$1:$D$500,$AE25)-1</f>
        <v/>
      </c>
      <c r="R26" s="52">
        <f>IF($X26="Yes",W26*$D$5/100-P26,0)</f>
        <v/>
      </c>
      <c r="S26" s="12">
        <f>P26+R26</f>
        <v/>
      </c>
      <c r="T26" s="12">
        <f>V25</f>
        <v/>
      </c>
      <c r="U26" s="52">
        <f>IF($X26="Yes",W26*$E$5/100-T26,0)</f>
        <v/>
      </c>
      <c r="V26" s="12">
        <f>T26+U26</f>
        <v/>
      </c>
      <c r="W26" s="11">
        <f>B26+I26+P26+T26</f>
        <v/>
      </c>
      <c r="X26" s="12">
        <f>IF(OR($B$2=0,AF26&gt;$B$2),"Yes","No")</f>
        <v/>
      </c>
      <c r="Y26" s="13">
        <f>W26/W25-1</f>
        <v/>
      </c>
      <c r="Z26" s="19">
        <f>INDEX(Data!$H$1:$H$500,$AE26)</f>
        <v/>
      </c>
      <c r="AA26" s="12">
        <f>W26/INDEX(Monthly!$F$1:$F$500,$AE26)</f>
        <v/>
      </c>
      <c r="AB26" s="13">
        <f>(W26/$B$3)^(12/($AE26-5))-1</f>
        <v/>
      </c>
      <c r="AC26" s="12">
        <f>INDEX(Monthly!$K$1:$K$500,$AE26)</f>
        <v/>
      </c>
      <c r="AD26" s="42">
        <f>W26-AC26</f>
        <v/>
      </c>
      <c r="AE26" s="53">
        <f>'Year by year'!C22</f>
        <v/>
      </c>
      <c r="AF26" s="19">
        <f>MAX(ABS(B26/W26*100-$B$5),ABS(I26/W26*100-$C$5),ABS(P26/W26*100-$D$5),ABS(T26/W26*100-$E$5))</f>
        <v/>
      </c>
    </row>
    <row r="27">
      <c r="A27" s="11" t="inlineStr">
        <is>
          <t>2013 Dec</t>
        </is>
      </c>
      <c r="B27" s="12">
        <f>C27*D27</f>
        <v/>
      </c>
      <c r="C27" s="22">
        <f>H26</f>
        <v/>
      </c>
      <c r="D27" s="22">
        <f>INDEX(Data!$C$1:$C$500,$AE27)</f>
        <v/>
      </c>
      <c r="E27" s="51">
        <f>F27/D27</f>
        <v/>
      </c>
      <c r="F27" s="52">
        <f>IF($X27="Yes",W27*$B$5/100-B27,0)</f>
        <v/>
      </c>
      <c r="G27" s="12">
        <f>B27+F27</f>
        <v/>
      </c>
      <c r="H27" s="22">
        <f>G27/D27</f>
        <v/>
      </c>
      <c r="I27" s="12">
        <f>J27*K27</f>
        <v/>
      </c>
      <c r="J27" s="22">
        <f>O26</f>
        <v/>
      </c>
      <c r="K27" s="22">
        <f>INDEX(Data!$G$1:$G$500,$AE27)</f>
        <v/>
      </c>
      <c r="L27" s="51">
        <f>M27/K27</f>
        <v/>
      </c>
      <c r="M27" s="52">
        <f>IF($X27="Yes",W27*$C$5/100-I27,0)</f>
        <v/>
      </c>
      <c r="N27" s="12">
        <f>I27+M27</f>
        <v/>
      </c>
      <c r="O27" s="22">
        <f>N27/K27</f>
        <v/>
      </c>
      <c r="P27" s="12">
        <f>S26*INDEX(Monthly!$D$1:$D$500,$AE27)/INDEX(Monthly!$D$1:$D$500,$AE26)</f>
        <v/>
      </c>
      <c r="Q27" s="13">
        <f>INDEX(Monthly!$D$1:$D$500,$AE27)/INDEX(Monthly!$D$1:$D$500,$AE26)-1</f>
        <v/>
      </c>
      <c r="R27" s="52">
        <f>IF($X27="Yes",W27*$D$5/100-P27,0)</f>
        <v/>
      </c>
      <c r="S27" s="12">
        <f>P27+R27</f>
        <v/>
      </c>
      <c r="T27" s="12">
        <f>V26</f>
        <v/>
      </c>
      <c r="U27" s="52">
        <f>IF($X27="Yes",W27*$E$5/100-T27,0)</f>
        <v/>
      </c>
      <c r="V27" s="12">
        <f>T27+U27</f>
        <v/>
      </c>
      <c r="W27" s="11">
        <f>B27+I27+P27+T27</f>
        <v/>
      </c>
      <c r="X27" s="12">
        <f>IF(OR($B$2=0,AF27&gt;$B$2),"Yes","No")</f>
        <v/>
      </c>
      <c r="Y27" s="13">
        <f>W27/W26-1</f>
        <v/>
      </c>
      <c r="Z27" s="19">
        <f>INDEX(Data!$H$1:$H$500,$AE27)</f>
        <v/>
      </c>
      <c r="AA27" s="12">
        <f>W27/INDEX(Monthly!$F$1:$F$500,$AE27)</f>
        <v/>
      </c>
      <c r="AB27" s="13">
        <f>(W27/$B$3)^(12/($AE27-5))-1</f>
        <v/>
      </c>
      <c r="AC27" s="12">
        <f>INDEX(Monthly!$K$1:$K$500,$AE27)</f>
        <v/>
      </c>
      <c r="AD27" s="42">
        <f>W27-AC27</f>
        <v/>
      </c>
      <c r="AE27" s="53">
        <f>'Year by year'!C23</f>
        <v/>
      </c>
      <c r="AF27" s="19">
        <f>MAX(ABS(B27/W27*100-$B$5),ABS(I27/W27*100-$C$5),ABS(P27/W27*100-$D$5),ABS(T27/W27*100-$E$5))</f>
        <v/>
      </c>
    </row>
    <row r="28">
      <c r="A28" s="11" t="inlineStr">
        <is>
          <t>2014 Dec</t>
        </is>
      </c>
      <c r="B28" s="12">
        <f>C28*D28</f>
        <v/>
      </c>
      <c r="C28" s="22">
        <f>H27</f>
        <v/>
      </c>
      <c r="D28" s="22">
        <f>INDEX(Data!$C$1:$C$500,$AE28)</f>
        <v/>
      </c>
      <c r="E28" s="51">
        <f>F28/D28</f>
        <v/>
      </c>
      <c r="F28" s="52">
        <f>IF($X28="Yes",W28*$B$5/100-B28,0)</f>
        <v/>
      </c>
      <c r="G28" s="12">
        <f>B28+F28</f>
        <v/>
      </c>
      <c r="H28" s="22">
        <f>G28/D28</f>
        <v/>
      </c>
      <c r="I28" s="12">
        <f>J28*K28</f>
        <v/>
      </c>
      <c r="J28" s="22">
        <f>O27</f>
        <v/>
      </c>
      <c r="K28" s="22">
        <f>INDEX(Data!$G$1:$G$500,$AE28)</f>
        <v/>
      </c>
      <c r="L28" s="51">
        <f>M28/K28</f>
        <v/>
      </c>
      <c r="M28" s="52">
        <f>IF($X28="Yes",W28*$C$5/100-I28,0)</f>
        <v/>
      </c>
      <c r="N28" s="12">
        <f>I28+M28</f>
        <v/>
      </c>
      <c r="O28" s="22">
        <f>N28/K28</f>
        <v/>
      </c>
      <c r="P28" s="12">
        <f>S27*INDEX(Monthly!$D$1:$D$500,$AE28)/INDEX(Monthly!$D$1:$D$500,$AE27)</f>
        <v/>
      </c>
      <c r="Q28" s="13">
        <f>INDEX(Monthly!$D$1:$D$500,$AE28)/INDEX(Monthly!$D$1:$D$500,$AE27)-1</f>
        <v/>
      </c>
      <c r="R28" s="52">
        <f>IF($X28="Yes",W28*$D$5/100-P28,0)</f>
        <v/>
      </c>
      <c r="S28" s="12">
        <f>P28+R28</f>
        <v/>
      </c>
      <c r="T28" s="12">
        <f>V27</f>
        <v/>
      </c>
      <c r="U28" s="52">
        <f>IF($X28="Yes",W28*$E$5/100-T28,0)</f>
        <v/>
      </c>
      <c r="V28" s="12">
        <f>T28+U28</f>
        <v/>
      </c>
      <c r="W28" s="11">
        <f>B28+I28+P28+T28</f>
        <v/>
      </c>
      <c r="X28" s="12">
        <f>IF(OR($B$2=0,AF28&gt;$B$2),"Yes","No")</f>
        <v/>
      </c>
      <c r="Y28" s="13">
        <f>W28/W27-1</f>
        <v/>
      </c>
      <c r="Z28" s="19">
        <f>INDEX(Data!$H$1:$H$500,$AE28)</f>
        <v/>
      </c>
      <c r="AA28" s="12">
        <f>W28/INDEX(Monthly!$F$1:$F$500,$AE28)</f>
        <v/>
      </c>
      <c r="AB28" s="13">
        <f>(W28/$B$3)^(12/($AE28-5))-1</f>
        <v/>
      </c>
      <c r="AC28" s="12">
        <f>INDEX(Monthly!$K$1:$K$500,$AE28)</f>
        <v/>
      </c>
      <c r="AD28" s="42">
        <f>W28-AC28</f>
        <v/>
      </c>
      <c r="AE28" s="53">
        <f>'Year by year'!C24</f>
        <v/>
      </c>
      <c r="AF28" s="19">
        <f>MAX(ABS(B28/W28*100-$B$5),ABS(I28/W28*100-$C$5),ABS(P28/W28*100-$D$5),ABS(T28/W28*100-$E$5))</f>
        <v/>
      </c>
    </row>
    <row r="29">
      <c r="A29" s="11" t="inlineStr">
        <is>
          <t>2015 Dec</t>
        </is>
      </c>
      <c r="B29" s="12">
        <f>C29*D29</f>
        <v/>
      </c>
      <c r="C29" s="22">
        <f>H28</f>
        <v/>
      </c>
      <c r="D29" s="22">
        <f>INDEX(Data!$C$1:$C$500,$AE29)</f>
        <v/>
      </c>
      <c r="E29" s="51">
        <f>F29/D29</f>
        <v/>
      </c>
      <c r="F29" s="52">
        <f>IF($X29="Yes",W29*$B$5/100-B29,0)</f>
        <v/>
      </c>
      <c r="G29" s="12">
        <f>B29+F29</f>
        <v/>
      </c>
      <c r="H29" s="22">
        <f>G29/D29</f>
        <v/>
      </c>
      <c r="I29" s="12">
        <f>J29*K29</f>
        <v/>
      </c>
      <c r="J29" s="22">
        <f>O28</f>
        <v/>
      </c>
      <c r="K29" s="22">
        <f>INDEX(Data!$G$1:$G$500,$AE29)</f>
        <v/>
      </c>
      <c r="L29" s="51">
        <f>M29/K29</f>
        <v/>
      </c>
      <c r="M29" s="52">
        <f>IF($X29="Yes",W29*$C$5/100-I29,0)</f>
        <v/>
      </c>
      <c r="N29" s="12">
        <f>I29+M29</f>
        <v/>
      </c>
      <c r="O29" s="22">
        <f>N29/K29</f>
        <v/>
      </c>
      <c r="P29" s="12">
        <f>S28*INDEX(Monthly!$D$1:$D$500,$AE29)/INDEX(Monthly!$D$1:$D$500,$AE28)</f>
        <v/>
      </c>
      <c r="Q29" s="13">
        <f>INDEX(Monthly!$D$1:$D$500,$AE29)/INDEX(Monthly!$D$1:$D$500,$AE28)-1</f>
        <v/>
      </c>
      <c r="R29" s="52">
        <f>IF($X29="Yes",W29*$D$5/100-P29,0)</f>
        <v/>
      </c>
      <c r="S29" s="12">
        <f>P29+R29</f>
        <v/>
      </c>
      <c r="T29" s="12">
        <f>V28</f>
        <v/>
      </c>
      <c r="U29" s="52">
        <f>IF($X29="Yes",W29*$E$5/100-T29,0)</f>
        <v/>
      </c>
      <c r="V29" s="12">
        <f>T29+U29</f>
        <v/>
      </c>
      <c r="W29" s="11">
        <f>B29+I29+P29+T29</f>
        <v/>
      </c>
      <c r="X29" s="12">
        <f>IF(OR($B$2=0,AF29&gt;$B$2),"Yes","No")</f>
        <v/>
      </c>
      <c r="Y29" s="13">
        <f>W29/W28-1</f>
        <v/>
      </c>
      <c r="Z29" s="19">
        <f>INDEX(Data!$H$1:$H$500,$AE29)</f>
        <v/>
      </c>
      <c r="AA29" s="12">
        <f>W29/INDEX(Monthly!$F$1:$F$500,$AE29)</f>
        <v/>
      </c>
      <c r="AB29" s="13">
        <f>(W29/$B$3)^(12/($AE29-5))-1</f>
        <v/>
      </c>
      <c r="AC29" s="12">
        <f>INDEX(Monthly!$K$1:$K$500,$AE29)</f>
        <v/>
      </c>
      <c r="AD29" s="42">
        <f>W29-AC29</f>
        <v/>
      </c>
      <c r="AE29" s="53">
        <f>'Year by year'!C25</f>
        <v/>
      </c>
      <c r="AF29" s="19">
        <f>MAX(ABS(B29/W29*100-$B$5),ABS(I29/W29*100-$C$5),ABS(P29/W29*100-$D$5),ABS(T29/W29*100-$E$5))</f>
        <v/>
      </c>
    </row>
    <row r="30">
      <c r="A30" s="11" t="inlineStr">
        <is>
          <t>2016 Dec</t>
        </is>
      </c>
      <c r="B30" s="12">
        <f>C30*D30</f>
        <v/>
      </c>
      <c r="C30" s="22">
        <f>H29</f>
        <v/>
      </c>
      <c r="D30" s="22">
        <f>INDEX(Data!$C$1:$C$500,$AE30)</f>
        <v/>
      </c>
      <c r="E30" s="51">
        <f>F30/D30</f>
        <v/>
      </c>
      <c r="F30" s="52">
        <f>IF($X30="Yes",W30*$B$5/100-B30,0)</f>
        <v/>
      </c>
      <c r="G30" s="12">
        <f>B30+F30</f>
        <v/>
      </c>
      <c r="H30" s="22">
        <f>G30/D30</f>
        <v/>
      </c>
      <c r="I30" s="12">
        <f>J30*K30</f>
        <v/>
      </c>
      <c r="J30" s="22">
        <f>O29</f>
        <v/>
      </c>
      <c r="K30" s="22">
        <f>INDEX(Data!$G$1:$G$500,$AE30)</f>
        <v/>
      </c>
      <c r="L30" s="51">
        <f>M30/K30</f>
        <v/>
      </c>
      <c r="M30" s="52">
        <f>IF($X30="Yes",W30*$C$5/100-I30,0)</f>
        <v/>
      </c>
      <c r="N30" s="12">
        <f>I30+M30</f>
        <v/>
      </c>
      <c r="O30" s="22">
        <f>N30/K30</f>
        <v/>
      </c>
      <c r="P30" s="12">
        <f>S29*INDEX(Monthly!$D$1:$D$500,$AE30)/INDEX(Monthly!$D$1:$D$500,$AE29)</f>
        <v/>
      </c>
      <c r="Q30" s="13">
        <f>INDEX(Monthly!$D$1:$D$500,$AE30)/INDEX(Monthly!$D$1:$D$500,$AE29)-1</f>
        <v/>
      </c>
      <c r="R30" s="52">
        <f>IF($X30="Yes",W30*$D$5/100-P30,0)</f>
        <v/>
      </c>
      <c r="S30" s="12">
        <f>P30+R30</f>
        <v/>
      </c>
      <c r="T30" s="12">
        <f>V29</f>
        <v/>
      </c>
      <c r="U30" s="52">
        <f>IF($X30="Yes",W30*$E$5/100-T30,0)</f>
        <v/>
      </c>
      <c r="V30" s="12">
        <f>T30+U30</f>
        <v/>
      </c>
      <c r="W30" s="11">
        <f>B30+I30+P30+T30</f>
        <v/>
      </c>
      <c r="X30" s="12">
        <f>IF(OR($B$2=0,AF30&gt;$B$2),"Yes","No")</f>
        <v/>
      </c>
      <c r="Y30" s="13">
        <f>W30/W29-1</f>
        <v/>
      </c>
      <c r="Z30" s="19">
        <f>INDEX(Data!$H$1:$H$500,$AE30)</f>
        <v/>
      </c>
      <c r="AA30" s="12">
        <f>W30/INDEX(Monthly!$F$1:$F$500,$AE30)</f>
        <v/>
      </c>
      <c r="AB30" s="13">
        <f>(W30/$B$3)^(12/($AE30-5))-1</f>
        <v/>
      </c>
      <c r="AC30" s="12">
        <f>INDEX(Monthly!$K$1:$K$500,$AE30)</f>
        <v/>
      </c>
      <c r="AD30" s="42">
        <f>W30-AC30</f>
        <v/>
      </c>
      <c r="AE30" s="53">
        <f>'Year by year'!C26</f>
        <v/>
      </c>
      <c r="AF30" s="19">
        <f>MAX(ABS(B30/W30*100-$B$5),ABS(I30/W30*100-$C$5),ABS(P30/W30*100-$D$5),ABS(T30/W30*100-$E$5))</f>
        <v/>
      </c>
    </row>
    <row r="31">
      <c r="A31" s="11" t="inlineStr">
        <is>
          <t>2017 Dec</t>
        </is>
      </c>
      <c r="B31" s="12">
        <f>C31*D31</f>
        <v/>
      </c>
      <c r="C31" s="22">
        <f>H30</f>
        <v/>
      </c>
      <c r="D31" s="22">
        <f>INDEX(Data!$C$1:$C$500,$AE31)</f>
        <v/>
      </c>
      <c r="E31" s="51">
        <f>F31/D31</f>
        <v/>
      </c>
      <c r="F31" s="52">
        <f>IF($X31="Yes",W31*$B$5/100-B31,0)</f>
        <v/>
      </c>
      <c r="G31" s="12">
        <f>B31+F31</f>
        <v/>
      </c>
      <c r="H31" s="22">
        <f>G31/D31</f>
        <v/>
      </c>
      <c r="I31" s="12">
        <f>J31*K31</f>
        <v/>
      </c>
      <c r="J31" s="22">
        <f>O30</f>
        <v/>
      </c>
      <c r="K31" s="22">
        <f>INDEX(Data!$G$1:$G$500,$AE31)</f>
        <v/>
      </c>
      <c r="L31" s="51">
        <f>M31/K31</f>
        <v/>
      </c>
      <c r="M31" s="52">
        <f>IF($X31="Yes",W31*$C$5/100-I31,0)</f>
        <v/>
      </c>
      <c r="N31" s="12">
        <f>I31+M31</f>
        <v/>
      </c>
      <c r="O31" s="22">
        <f>N31/K31</f>
        <v/>
      </c>
      <c r="P31" s="12">
        <f>S30*INDEX(Monthly!$D$1:$D$500,$AE31)/INDEX(Monthly!$D$1:$D$500,$AE30)</f>
        <v/>
      </c>
      <c r="Q31" s="13">
        <f>INDEX(Monthly!$D$1:$D$500,$AE31)/INDEX(Monthly!$D$1:$D$500,$AE30)-1</f>
        <v/>
      </c>
      <c r="R31" s="52">
        <f>IF($X31="Yes",W31*$D$5/100-P31,0)</f>
        <v/>
      </c>
      <c r="S31" s="12">
        <f>P31+R31</f>
        <v/>
      </c>
      <c r="T31" s="12">
        <f>V30</f>
        <v/>
      </c>
      <c r="U31" s="52">
        <f>IF($X31="Yes",W31*$E$5/100-T31,0)</f>
        <v/>
      </c>
      <c r="V31" s="12">
        <f>T31+U31</f>
        <v/>
      </c>
      <c r="W31" s="11">
        <f>B31+I31+P31+T31</f>
        <v/>
      </c>
      <c r="X31" s="12">
        <f>IF(OR($B$2=0,AF31&gt;$B$2),"Yes","No")</f>
        <v/>
      </c>
      <c r="Y31" s="13">
        <f>W31/W30-1</f>
        <v/>
      </c>
      <c r="Z31" s="19">
        <f>INDEX(Data!$H$1:$H$500,$AE31)</f>
        <v/>
      </c>
      <c r="AA31" s="12">
        <f>W31/INDEX(Monthly!$F$1:$F$500,$AE31)</f>
        <v/>
      </c>
      <c r="AB31" s="13">
        <f>(W31/$B$3)^(12/($AE31-5))-1</f>
        <v/>
      </c>
      <c r="AC31" s="12">
        <f>INDEX(Monthly!$K$1:$K$500,$AE31)</f>
        <v/>
      </c>
      <c r="AD31" s="42">
        <f>W31-AC31</f>
        <v/>
      </c>
      <c r="AE31" s="53">
        <f>'Year by year'!C27</f>
        <v/>
      </c>
      <c r="AF31" s="19">
        <f>MAX(ABS(B31/W31*100-$B$5),ABS(I31/W31*100-$C$5),ABS(P31/W31*100-$D$5),ABS(T31/W31*100-$E$5))</f>
        <v/>
      </c>
    </row>
    <row r="32">
      <c r="A32" s="11" t="inlineStr">
        <is>
          <t>2018 Dec</t>
        </is>
      </c>
      <c r="B32" s="12">
        <f>C32*D32</f>
        <v/>
      </c>
      <c r="C32" s="22">
        <f>H31</f>
        <v/>
      </c>
      <c r="D32" s="22">
        <f>INDEX(Data!$C$1:$C$500,$AE32)</f>
        <v/>
      </c>
      <c r="E32" s="51">
        <f>F32/D32</f>
        <v/>
      </c>
      <c r="F32" s="52">
        <f>IF($X32="Yes",W32*$B$5/100-B32,0)</f>
        <v/>
      </c>
      <c r="G32" s="12">
        <f>B32+F32</f>
        <v/>
      </c>
      <c r="H32" s="22">
        <f>G32/D32</f>
        <v/>
      </c>
      <c r="I32" s="12">
        <f>J32*K32</f>
        <v/>
      </c>
      <c r="J32" s="22">
        <f>O31</f>
        <v/>
      </c>
      <c r="K32" s="22">
        <f>INDEX(Data!$G$1:$G$500,$AE32)</f>
        <v/>
      </c>
      <c r="L32" s="51">
        <f>M32/K32</f>
        <v/>
      </c>
      <c r="M32" s="52">
        <f>IF($X32="Yes",W32*$C$5/100-I32,0)</f>
        <v/>
      </c>
      <c r="N32" s="12">
        <f>I32+M32</f>
        <v/>
      </c>
      <c r="O32" s="22">
        <f>N32/K32</f>
        <v/>
      </c>
      <c r="P32" s="12">
        <f>S31*INDEX(Monthly!$D$1:$D$500,$AE32)/INDEX(Monthly!$D$1:$D$500,$AE31)</f>
        <v/>
      </c>
      <c r="Q32" s="13">
        <f>INDEX(Monthly!$D$1:$D$500,$AE32)/INDEX(Monthly!$D$1:$D$500,$AE31)-1</f>
        <v/>
      </c>
      <c r="R32" s="52">
        <f>IF($X32="Yes",W32*$D$5/100-P32,0)</f>
        <v/>
      </c>
      <c r="S32" s="12">
        <f>P32+R32</f>
        <v/>
      </c>
      <c r="T32" s="12">
        <f>V31</f>
        <v/>
      </c>
      <c r="U32" s="52">
        <f>IF($X32="Yes",W32*$E$5/100-T32,0)</f>
        <v/>
      </c>
      <c r="V32" s="12">
        <f>T32+U32</f>
        <v/>
      </c>
      <c r="W32" s="11">
        <f>B32+I32+P32+T32</f>
        <v/>
      </c>
      <c r="X32" s="12">
        <f>IF(OR($B$2=0,AF32&gt;$B$2),"Yes","No")</f>
        <v/>
      </c>
      <c r="Y32" s="13">
        <f>W32/W31-1</f>
        <v/>
      </c>
      <c r="Z32" s="19">
        <f>INDEX(Data!$H$1:$H$500,$AE32)</f>
        <v/>
      </c>
      <c r="AA32" s="12">
        <f>W32/INDEX(Monthly!$F$1:$F$500,$AE32)</f>
        <v/>
      </c>
      <c r="AB32" s="13">
        <f>(W32/$B$3)^(12/($AE32-5))-1</f>
        <v/>
      </c>
      <c r="AC32" s="12">
        <f>INDEX(Monthly!$K$1:$K$500,$AE32)</f>
        <v/>
      </c>
      <c r="AD32" s="42">
        <f>W32-AC32</f>
        <v/>
      </c>
      <c r="AE32" s="53">
        <f>'Year by year'!C28</f>
        <v/>
      </c>
      <c r="AF32" s="19">
        <f>MAX(ABS(B32/W32*100-$B$5),ABS(I32/W32*100-$C$5),ABS(P32/W32*100-$D$5),ABS(T32/W32*100-$E$5))</f>
        <v/>
      </c>
    </row>
    <row r="33">
      <c r="A33" s="11" t="inlineStr">
        <is>
          <t>2019 Dec</t>
        </is>
      </c>
      <c r="B33" s="12">
        <f>C33*D33</f>
        <v/>
      </c>
      <c r="C33" s="22">
        <f>H32</f>
        <v/>
      </c>
      <c r="D33" s="22">
        <f>INDEX(Data!$C$1:$C$500,$AE33)</f>
        <v/>
      </c>
      <c r="E33" s="51">
        <f>F33/D33</f>
        <v/>
      </c>
      <c r="F33" s="52">
        <f>IF($X33="Yes",W33*$B$5/100-B33,0)</f>
        <v/>
      </c>
      <c r="G33" s="12">
        <f>B33+F33</f>
        <v/>
      </c>
      <c r="H33" s="22">
        <f>G33/D33</f>
        <v/>
      </c>
      <c r="I33" s="12">
        <f>J33*K33</f>
        <v/>
      </c>
      <c r="J33" s="22">
        <f>O32</f>
        <v/>
      </c>
      <c r="K33" s="22">
        <f>INDEX(Data!$G$1:$G$500,$AE33)</f>
        <v/>
      </c>
      <c r="L33" s="51">
        <f>M33/K33</f>
        <v/>
      </c>
      <c r="M33" s="52">
        <f>IF($X33="Yes",W33*$C$5/100-I33,0)</f>
        <v/>
      </c>
      <c r="N33" s="12">
        <f>I33+M33</f>
        <v/>
      </c>
      <c r="O33" s="22">
        <f>N33/K33</f>
        <v/>
      </c>
      <c r="P33" s="12">
        <f>S32*INDEX(Monthly!$D$1:$D$500,$AE33)/INDEX(Monthly!$D$1:$D$500,$AE32)</f>
        <v/>
      </c>
      <c r="Q33" s="13">
        <f>INDEX(Monthly!$D$1:$D$500,$AE33)/INDEX(Monthly!$D$1:$D$500,$AE32)-1</f>
        <v/>
      </c>
      <c r="R33" s="52">
        <f>IF($X33="Yes",W33*$D$5/100-P33,0)</f>
        <v/>
      </c>
      <c r="S33" s="12">
        <f>P33+R33</f>
        <v/>
      </c>
      <c r="T33" s="12">
        <f>V32</f>
        <v/>
      </c>
      <c r="U33" s="52">
        <f>IF($X33="Yes",W33*$E$5/100-T33,0)</f>
        <v/>
      </c>
      <c r="V33" s="12">
        <f>T33+U33</f>
        <v/>
      </c>
      <c r="W33" s="11">
        <f>B33+I33+P33+T33</f>
        <v/>
      </c>
      <c r="X33" s="12">
        <f>IF(OR($B$2=0,AF33&gt;$B$2),"Yes","No")</f>
        <v/>
      </c>
      <c r="Y33" s="13">
        <f>W33/W32-1</f>
        <v/>
      </c>
      <c r="Z33" s="19">
        <f>INDEX(Data!$H$1:$H$500,$AE33)</f>
        <v/>
      </c>
      <c r="AA33" s="12">
        <f>W33/INDEX(Monthly!$F$1:$F$500,$AE33)</f>
        <v/>
      </c>
      <c r="AB33" s="13">
        <f>(W33/$B$3)^(12/($AE33-5))-1</f>
        <v/>
      </c>
      <c r="AC33" s="12">
        <f>INDEX(Monthly!$K$1:$K$500,$AE33)</f>
        <v/>
      </c>
      <c r="AD33" s="42">
        <f>W33-AC33</f>
        <v/>
      </c>
      <c r="AE33" s="53">
        <f>'Year by year'!C29</f>
        <v/>
      </c>
      <c r="AF33" s="19">
        <f>MAX(ABS(B33/W33*100-$B$5),ABS(I33/W33*100-$C$5),ABS(P33/W33*100-$D$5),ABS(T33/W33*100-$E$5))</f>
        <v/>
      </c>
    </row>
    <row r="34">
      <c r="A34" s="11" t="inlineStr">
        <is>
          <t>2020 Dec</t>
        </is>
      </c>
      <c r="B34" s="12">
        <f>C34*D34</f>
        <v/>
      </c>
      <c r="C34" s="22">
        <f>H33</f>
        <v/>
      </c>
      <c r="D34" s="22">
        <f>INDEX(Data!$C$1:$C$500,$AE34)</f>
        <v/>
      </c>
      <c r="E34" s="51">
        <f>F34/D34</f>
        <v/>
      </c>
      <c r="F34" s="52">
        <f>IF($X34="Yes",W34*$B$5/100-B34,0)</f>
        <v/>
      </c>
      <c r="G34" s="12">
        <f>B34+F34</f>
        <v/>
      </c>
      <c r="H34" s="22">
        <f>G34/D34</f>
        <v/>
      </c>
      <c r="I34" s="12">
        <f>J34*K34</f>
        <v/>
      </c>
      <c r="J34" s="22">
        <f>O33</f>
        <v/>
      </c>
      <c r="K34" s="22">
        <f>INDEX(Data!$G$1:$G$500,$AE34)</f>
        <v/>
      </c>
      <c r="L34" s="51">
        <f>M34/K34</f>
        <v/>
      </c>
      <c r="M34" s="52">
        <f>IF($X34="Yes",W34*$C$5/100-I34,0)</f>
        <v/>
      </c>
      <c r="N34" s="12">
        <f>I34+M34</f>
        <v/>
      </c>
      <c r="O34" s="22">
        <f>N34/K34</f>
        <v/>
      </c>
      <c r="P34" s="12">
        <f>S33*INDEX(Monthly!$D$1:$D$500,$AE34)/INDEX(Monthly!$D$1:$D$500,$AE33)</f>
        <v/>
      </c>
      <c r="Q34" s="13">
        <f>INDEX(Monthly!$D$1:$D$500,$AE34)/INDEX(Monthly!$D$1:$D$500,$AE33)-1</f>
        <v/>
      </c>
      <c r="R34" s="52">
        <f>IF($X34="Yes",W34*$D$5/100-P34,0)</f>
        <v/>
      </c>
      <c r="S34" s="12">
        <f>P34+R34</f>
        <v/>
      </c>
      <c r="T34" s="12">
        <f>V33</f>
        <v/>
      </c>
      <c r="U34" s="52">
        <f>IF($X34="Yes",W34*$E$5/100-T34,0)</f>
        <v/>
      </c>
      <c r="V34" s="12">
        <f>T34+U34</f>
        <v/>
      </c>
      <c r="W34" s="11">
        <f>B34+I34+P34+T34</f>
        <v/>
      </c>
      <c r="X34" s="12">
        <f>IF(OR($B$2=0,AF34&gt;$B$2),"Yes","No")</f>
        <v/>
      </c>
      <c r="Y34" s="13">
        <f>W34/W33-1</f>
        <v/>
      </c>
      <c r="Z34" s="19">
        <f>INDEX(Data!$H$1:$H$500,$AE34)</f>
        <v/>
      </c>
      <c r="AA34" s="12">
        <f>W34/INDEX(Monthly!$F$1:$F$500,$AE34)</f>
        <v/>
      </c>
      <c r="AB34" s="13">
        <f>(W34/$B$3)^(12/($AE34-5))-1</f>
        <v/>
      </c>
      <c r="AC34" s="12">
        <f>INDEX(Monthly!$K$1:$K$500,$AE34)</f>
        <v/>
      </c>
      <c r="AD34" s="42">
        <f>W34-AC34</f>
        <v/>
      </c>
      <c r="AE34" s="53">
        <f>'Year by year'!C30</f>
        <v/>
      </c>
      <c r="AF34" s="19">
        <f>MAX(ABS(B34/W34*100-$B$5),ABS(I34/W34*100-$C$5),ABS(P34/W34*100-$D$5),ABS(T34/W34*100-$E$5))</f>
        <v/>
      </c>
    </row>
    <row r="35">
      <c r="A35" s="11" t="inlineStr">
        <is>
          <t>2021 Dec</t>
        </is>
      </c>
      <c r="B35" s="12">
        <f>C35*D35</f>
        <v/>
      </c>
      <c r="C35" s="22">
        <f>H34</f>
        <v/>
      </c>
      <c r="D35" s="22">
        <f>INDEX(Data!$C$1:$C$500,$AE35)</f>
        <v/>
      </c>
      <c r="E35" s="51">
        <f>F35/D35</f>
        <v/>
      </c>
      <c r="F35" s="52">
        <f>IF($X35="Yes",W35*$B$5/100-B35,0)</f>
        <v/>
      </c>
      <c r="G35" s="12">
        <f>B35+F35</f>
        <v/>
      </c>
      <c r="H35" s="22">
        <f>G35/D35</f>
        <v/>
      </c>
      <c r="I35" s="12">
        <f>J35*K35</f>
        <v/>
      </c>
      <c r="J35" s="22">
        <f>O34</f>
        <v/>
      </c>
      <c r="K35" s="22">
        <f>INDEX(Data!$G$1:$G$500,$AE35)</f>
        <v/>
      </c>
      <c r="L35" s="51">
        <f>M35/K35</f>
        <v/>
      </c>
      <c r="M35" s="52">
        <f>IF($X35="Yes",W35*$C$5/100-I35,0)</f>
        <v/>
      </c>
      <c r="N35" s="12">
        <f>I35+M35</f>
        <v/>
      </c>
      <c r="O35" s="22">
        <f>N35/K35</f>
        <v/>
      </c>
      <c r="P35" s="12">
        <f>S34*INDEX(Monthly!$D$1:$D$500,$AE35)/INDEX(Monthly!$D$1:$D$500,$AE34)</f>
        <v/>
      </c>
      <c r="Q35" s="13">
        <f>INDEX(Monthly!$D$1:$D$500,$AE35)/INDEX(Monthly!$D$1:$D$500,$AE34)-1</f>
        <v/>
      </c>
      <c r="R35" s="52">
        <f>IF($X35="Yes",W35*$D$5/100-P35,0)</f>
        <v/>
      </c>
      <c r="S35" s="12">
        <f>P35+R35</f>
        <v/>
      </c>
      <c r="T35" s="12">
        <f>V34</f>
        <v/>
      </c>
      <c r="U35" s="52">
        <f>IF($X35="Yes",W35*$E$5/100-T35,0)</f>
        <v/>
      </c>
      <c r="V35" s="12">
        <f>T35+U35</f>
        <v/>
      </c>
      <c r="W35" s="11">
        <f>B35+I35+P35+T35</f>
        <v/>
      </c>
      <c r="X35" s="12">
        <f>IF(OR($B$2=0,AF35&gt;$B$2),"Yes","No")</f>
        <v/>
      </c>
      <c r="Y35" s="13">
        <f>W35/W34-1</f>
        <v/>
      </c>
      <c r="Z35" s="19">
        <f>INDEX(Data!$H$1:$H$500,$AE35)</f>
        <v/>
      </c>
      <c r="AA35" s="12">
        <f>W35/INDEX(Monthly!$F$1:$F$500,$AE35)</f>
        <v/>
      </c>
      <c r="AB35" s="13">
        <f>(W35/$B$3)^(12/($AE35-5))-1</f>
        <v/>
      </c>
      <c r="AC35" s="12">
        <f>INDEX(Monthly!$K$1:$K$500,$AE35)</f>
        <v/>
      </c>
      <c r="AD35" s="42">
        <f>W35-AC35</f>
        <v/>
      </c>
      <c r="AE35" s="53">
        <f>'Year by year'!C31</f>
        <v/>
      </c>
      <c r="AF35" s="19">
        <f>MAX(ABS(B35/W35*100-$B$5),ABS(I35/W35*100-$C$5),ABS(P35/W35*100-$D$5),ABS(T35/W35*100-$E$5))</f>
        <v/>
      </c>
    </row>
    <row r="36">
      <c r="A36" s="11" t="inlineStr">
        <is>
          <t>2022 Dec</t>
        </is>
      </c>
      <c r="B36" s="12">
        <f>C36*D36</f>
        <v/>
      </c>
      <c r="C36" s="22">
        <f>H35</f>
        <v/>
      </c>
      <c r="D36" s="22">
        <f>INDEX(Data!$C$1:$C$500,$AE36)</f>
        <v/>
      </c>
      <c r="E36" s="51">
        <f>F36/D36</f>
        <v/>
      </c>
      <c r="F36" s="52">
        <f>IF($X36="Yes",W36*$B$5/100-B36,0)</f>
        <v/>
      </c>
      <c r="G36" s="12">
        <f>B36+F36</f>
        <v/>
      </c>
      <c r="H36" s="22">
        <f>G36/D36</f>
        <v/>
      </c>
      <c r="I36" s="12">
        <f>J36*K36</f>
        <v/>
      </c>
      <c r="J36" s="22">
        <f>O35</f>
        <v/>
      </c>
      <c r="K36" s="22">
        <f>INDEX(Data!$G$1:$G$500,$AE36)</f>
        <v/>
      </c>
      <c r="L36" s="51">
        <f>M36/K36</f>
        <v/>
      </c>
      <c r="M36" s="52">
        <f>IF($X36="Yes",W36*$C$5/100-I36,0)</f>
        <v/>
      </c>
      <c r="N36" s="12">
        <f>I36+M36</f>
        <v/>
      </c>
      <c r="O36" s="22">
        <f>N36/K36</f>
        <v/>
      </c>
      <c r="P36" s="12">
        <f>S35*INDEX(Monthly!$D$1:$D$500,$AE36)/INDEX(Monthly!$D$1:$D$500,$AE35)</f>
        <v/>
      </c>
      <c r="Q36" s="13">
        <f>INDEX(Monthly!$D$1:$D$500,$AE36)/INDEX(Monthly!$D$1:$D$500,$AE35)-1</f>
        <v/>
      </c>
      <c r="R36" s="52">
        <f>IF($X36="Yes",W36*$D$5/100-P36,0)</f>
        <v/>
      </c>
      <c r="S36" s="12">
        <f>P36+R36</f>
        <v/>
      </c>
      <c r="T36" s="12">
        <f>V35</f>
        <v/>
      </c>
      <c r="U36" s="52">
        <f>IF($X36="Yes",W36*$E$5/100-T36,0)</f>
        <v/>
      </c>
      <c r="V36" s="12">
        <f>T36+U36</f>
        <v/>
      </c>
      <c r="W36" s="11">
        <f>B36+I36+P36+T36</f>
        <v/>
      </c>
      <c r="X36" s="12">
        <f>IF(OR($B$2=0,AF36&gt;$B$2),"Yes","No")</f>
        <v/>
      </c>
      <c r="Y36" s="13">
        <f>W36/W35-1</f>
        <v/>
      </c>
      <c r="Z36" s="19">
        <f>INDEX(Data!$H$1:$H$500,$AE36)</f>
        <v/>
      </c>
      <c r="AA36" s="12">
        <f>W36/INDEX(Monthly!$F$1:$F$500,$AE36)</f>
        <v/>
      </c>
      <c r="AB36" s="13">
        <f>(W36/$B$3)^(12/($AE36-5))-1</f>
        <v/>
      </c>
      <c r="AC36" s="12">
        <f>INDEX(Monthly!$K$1:$K$500,$AE36)</f>
        <v/>
      </c>
      <c r="AD36" s="42">
        <f>W36-AC36</f>
        <v/>
      </c>
      <c r="AE36" s="53">
        <f>'Year by year'!C32</f>
        <v/>
      </c>
      <c r="AF36" s="19">
        <f>MAX(ABS(B36/W36*100-$B$5),ABS(I36/W36*100-$C$5),ABS(P36/W36*100-$D$5),ABS(T36/W36*100-$E$5))</f>
        <v/>
      </c>
    </row>
    <row r="37">
      <c r="A37" s="11" t="inlineStr">
        <is>
          <t>2023 Dec</t>
        </is>
      </c>
      <c r="B37" s="12">
        <f>C37*D37</f>
        <v/>
      </c>
      <c r="C37" s="22">
        <f>H36</f>
        <v/>
      </c>
      <c r="D37" s="22">
        <f>INDEX(Data!$C$1:$C$500,$AE37)</f>
        <v/>
      </c>
      <c r="E37" s="51">
        <f>F37/D37</f>
        <v/>
      </c>
      <c r="F37" s="52">
        <f>IF($X37="Yes",W37*$B$5/100-B37,0)</f>
        <v/>
      </c>
      <c r="G37" s="12">
        <f>B37+F37</f>
        <v/>
      </c>
      <c r="H37" s="22">
        <f>G37/D37</f>
        <v/>
      </c>
      <c r="I37" s="12">
        <f>J37*K37</f>
        <v/>
      </c>
      <c r="J37" s="22">
        <f>O36</f>
        <v/>
      </c>
      <c r="K37" s="22">
        <f>INDEX(Data!$G$1:$G$500,$AE37)</f>
        <v/>
      </c>
      <c r="L37" s="51">
        <f>M37/K37</f>
        <v/>
      </c>
      <c r="M37" s="52">
        <f>IF($X37="Yes",W37*$C$5/100-I37,0)</f>
        <v/>
      </c>
      <c r="N37" s="12">
        <f>I37+M37</f>
        <v/>
      </c>
      <c r="O37" s="22">
        <f>N37/K37</f>
        <v/>
      </c>
      <c r="P37" s="12">
        <f>S36*INDEX(Monthly!$D$1:$D$500,$AE37)/INDEX(Monthly!$D$1:$D$500,$AE36)</f>
        <v/>
      </c>
      <c r="Q37" s="13">
        <f>INDEX(Monthly!$D$1:$D$500,$AE37)/INDEX(Monthly!$D$1:$D$500,$AE36)-1</f>
        <v/>
      </c>
      <c r="R37" s="52">
        <f>IF($X37="Yes",W37*$D$5/100-P37,0)</f>
        <v/>
      </c>
      <c r="S37" s="12">
        <f>P37+R37</f>
        <v/>
      </c>
      <c r="T37" s="12">
        <f>V36</f>
        <v/>
      </c>
      <c r="U37" s="52">
        <f>IF($X37="Yes",W37*$E$5/100-T37,0)</f>
        <v/>
      </c>
      <c r="V37" s="12">
        <f>T37+U37</f>
        <v/>
      </c>
      <c r="W37" s="11">
        <f>B37+I37+P37+T37</f>
        <v/>
      </c>
      <c r="X37" s="12">
        <f>IF(OR($B$2=0,AF37&gt;$B$2),"Yes","No")</f>
        <v/>
      </c>
      <c r="Y37" s="13">
        <f>W37/W36-1</f>
        <v/>
      </c>
      <c r="Z37" s="19">
        <f>INDEX(Data!$H$1:$H$500,$AE37)</f>
        <v/>
      </c>
      <c r="AA37" s="12">
        <f>W37/INDEX(Monthly!$F$1:$F$500,$AE37)</f>
        <v/>
      </c>
      <c r="AB37" s="13">
        <f>(W37/$B$3)^(12/($AE37-5))-1</f>
        <v/>
      </c>
      <c r="AC37" s="12">
        <f>INDEX(Monthly!$K$1:$K$500,$AE37)</f>
        <v/>
      </c>
      <c r="AD37" s="42">
        <f>W37-AC37</f>
        <v/>
      </c>
      <c r="AE37" s="53">
        <f>'Year by year'!C33</f>
        <v/>
      </c>
      <c r="AF37" s="19">
        <f>MAX(ABS(B37/W37*100-$B$5),ABS(I37/W37*100-$C$5),ABS(P37/W37*100-$D$5),ABS(T37/W37*100-$E$5))</f>
        <v/>
      </c>
    </row>
    <row r="38">
      <c r="A38" s="11" t="inlineStr">
        <is>
          <t>2024 Dec</t>
        </is>
      </c>
      <c r="B38" s="12">
        <f>C38*D38</f>
        <v/>
      </c>
      <c r="C38" s="22">
        <f>H37</f>
        <v/>
      </c>
      <c r="D38" s="22">
        <f>INDEX(Data!$C$1:$C$500,$AE38)</f>
        <v/>
      </c>
      <c r="E38" s="51">
        <f>F38/D38</f>
        <v/>
      </c>
      <c r="F38" s="52">
        <f>IF($X38="Yes",W38*$B$5/100-B38,0)</f>
        <v/>
      </c>
      <c r="G38" s="12">
        <f>B38+F38</f>
        <v/>
      </c>
      <c r="H38" s="22">
        <f>G38/D38</f>
        <v/>
      </c>
      <c r="I38" s="12">
        <f>J38*K38</f>
        <v/>
      </c>
      <c r="J38" s="22">
        <f>O37</f>
        <v/>
      </c>
      <c r="K38" s="22">
        <f>INDEX(Data!$G$1:$G$500,$AE38)</f>
        <v/>
      </c>
      <c r="L38" s="51">
        <f>M38/K38</f>
        <v/>
      </c>
      <c r="M38" s="52">
        <f>IF($X38="Yes",W38*$C$5/100-I38,0)</f>
        <v/>
      </c>
      <c r="N38" s="12">
        <f>I38+M38</f>
        <v/>
      </c>
      <c r="O38" s="22">
        <f>N38/K38</f>
        <v/>
      </c>
      <c r="P38" s="12">
        <f>S37*INDEX(Monthly!$D$1:$D$500,$AE38)/INDEX(Monthly!$D$1:$D$500,$AE37)</f>
        <v/>
      </c>
      <c r="Q38" s="13">
        <f>INDEX(Monthly!$D$1:$D$500,$AE38)/INDEX(Monthly!$D$1:$D$500,$AE37)-1</f>
        <v/>
      </c>
      <c r="R38" s="52">
        <f>IF($X38="Yes",W38*$D$5/100-P38,0)</f>
        <v/>
      </c>
      <c r="S38" s="12">
        <f>P38+R38</f>
        <v/>
      </c>
      <c r="T38" s="12">
        <f>V37</f>
        <v/>
      </c>
      <c r="U38" s="52">
        <f>IF($X38="Yes",W38*$E$5/100-T38,0)</f>
        <v/>
      </c>
      <c r="V38" s="12">
        <f>T38+U38</f>
        <v/>
      </c>
      <c r="W38" s="11">
        <f>B38+I38+P38+T38</f>
        <v/>
      </c>
      <c r="X38" s="12">
        <f>IF(OR($B$2=0,AF38&gt;$B$2),"Yes","No")</f>
        <v/>
      </c>
      <c r="Y38" s="13">
        <f>W38/W37-1</f>
        <v/>
      </c>
      <c r="Z38" s="19">
        <f>INDEX(Data!$H$1:$H$500,$AE38)</f>
        <v/>
      </c>
      <c r="AA38" s="12">
        <f>W38/INDEX(Monthly!$F$1:$F$500,$AE38)</f>
        <v/>
      </c>
      <c r="AB38" s="13">
        <f>(W38/$B$3)^(12/($AE38-5))-1</f>
        <v/>
      </c>
      <c r="AC38" s="12">
        <f>INDEX(Monthly!$K$1:$K$500,$AE38)</f>
        <v/>
      </c>
      <c r="AD38" s="42">
        <f>W38-AC38</f>
        <v/>
      </c>
      <c r="AE38" s="53">
        <f>'Year by year'!C34</f>
        <v/>
      </c>
      <c r="AF38" s="19">
        <f>MAX(ABS(B38/W38*100-$B$5),ABS(I38/W38*100-$C$5),ABS(P38/W38*100-$D$5),ABS(T38/W38*100-$E$5))</f>
        <v/>
      </c>
    </row>
    <row r="39">
      <c r="A39" s="11" t="inlineStr">
        <is>
          <t>2025 Dec</t>
        </is>
      </c>
      <c r="B39" s="12">
        <f>C39*D39</f>
        <v/>
      </c>
      <c r="C39" s="22">
        <f>H38</f>
        <v/>
      </c>
      <c r="D39" s="22">
        <f>INDEX(Data!$C$1:$C$500,$AE39)</f>
        <v/>
      </c>
      <c r="E39" s="51">
        <f>F39/D39</f>
        <v/>
      </c>
      <c r="F39" s="52">
        <f>IF($X39="Yes",W39*$B$5/100-B39,0)</f>
        <v/>
      </c>
      <c r="G39" s="12">
        <f>B39+F39</f>
        <v/>
      </c>
      <c r="H39" s="22">
        <f>G39/D39</f>
        <v/>
      </c>
      <c r="I39" s="12">
        <f>J39*K39</f>
        <v/>
      </c>
      <c r="J39" s="22">
        <f>O38</f>
        <v/>
      </c>
      <c r="K39" s="22">
        <f>INDEX(Data!$G$1:$G$500,$AE39)</f>
        <v/>
      </c>
      <c r="L39" s="51">
        <f>M39/K39</f>
        <v/>
      </c>
      <c r="M39" s="52">
        <f>IF($X39="Yes",W39*$C$5/100-I39,0)</f>
        <v/>
      </c>
      <c r="N39" s="12">
        <f>I39+M39</f>
        <v/>
      </c>
      <c r="O39" s="22">
        <f>N39/K39</f>
        <v/>
      </c>
      <c r="P39" s="12">
        <f>S38*INDEX(Monthly!$D$1:$D$500,$AE39)/INDEX(Monthly!$D$1:$D$500,$AE38)</f>
        <v/>
      </c>
      <c r="Q39" s="13">
        <f>INDEX(Monthly!$D$1:$D$500,$AE39)/INDEX(Monthly!$D$1:$D$500,$AE38)-1</f>
        <v/>
      </c>
      <c r="R39" s="52">
        <f>IF($X39="Yes",W39*$D$5/100-P39,0)</f>
        <v/>
      </c>
      <c r="S39" s="12">
        <f>P39+R39</f>
        <v/>
      </c>
      <c r="T39" s="12">
        <f>V38</f>
        <v/>
      </c>
      <c r="U39" s="52">
        <f>IF($X39="Yes",W39*$E$5/100-T39,0)</f>
        <v/>
      </c>
      <c r="V39" s="12">
        <f>T39+U39</f>
        <v/>
      </c>
      <c r="W39" s="11">
        <f>B39+I39+P39+T39</f>
        <v/>
      </c>
      <c r="X39" s="12">
        <f>IF(OR($B$2=0,AF39&gt;$B$2),"Yes","No")</f>
        <v/>
      </c>
      <c r="Y39" s="13">
        <f>W39/W38-1</f>
        <v/>
      </c>
      <c r="Z39" s="19">
        <f>INDEX(Data!$H$1:$H$500,$AE39)</f>
        <v/>
      </c>
      <c r="AA39" s="12">
        <f>W39/INDEX(Monthly!$F$1:$F$500,$AE39)</f>
        <v/>
      </c>
      <c r="AB39" s="13">
        <f>(W39/$B$3)^(12/($AE39-5))-1</f>
        <v/>
      </c>
      <c r="AC39" s="12">
        <f>INDEX(Monthly!$K$1:$K$500,$AE39)</f>
        <v/>
      </c>
      <c r="AD39" s="42">
        <f>W39-AC39</f>
        <v/>
      </c>
      <c r="AE39" s="53">
        <f>'Year by year'!C35</f>
        <v/>
      </c>
      <c r="AF39" s="19">
        <f>MAX(ABS(B39/W39*100-$B$5),ABS(I39/W39*100-$C$5),ABS(P39/W39*100-$D$5),ABS(T39/W39*100-$E$5))</f>
        <v/>
      </c>
    </row>
    <row r="40">
      <c r="A40" s="11" t="inlineStr">
        <is>
          <t>2026 Sep</t>
        </is>
      </c>
      <c r="B40" s="12">
        <f>C40*D40</f>
        <v/>
      </c>
      <c r="C40" s="22">
        <f>H39</f>
        <v/>
      </c>
      <c r="D40" s="22">
        <f>INDEX(Data!$C$1:$C$500,$AE40)</f>
        <v/>
      </c>
      <c r="E40" s="51">
        <f>F40/D40</f>
        <v/>
      </c>
      <c r="F40" s="52">
        <f>IF($X40="Yes",W40*$B$5/100-B40,0)</f>
        <v/>
      </c>
      <c r="G40" s="12">
        <f>B40+F40</f>
        <v/>
      </c>
      <c r="H40" s="22">
        <f>G40/D40</f>
        <v/>
      </c>
      <c r="I40" s="12">
        <f>J40*K40</f>
        <v/>
      </c>
      <c r="J40" s="22">
        <f>O39</f>
        <v/>
      </c>
      <c r="K40" s="22">
        <f>INDEX(Data!$G$1:$G$500,$AE40)</f>
        <v/>
      </c>
      <c r="L40" s="51">
        <f>M40/K40</f>
        <v/>
      </c>
      <c r="M40" s="52">
        <f>IF($X40="Yes",W40*$C$5/100-I40,0)</f>
        <v/>
      </c>
      <c r="N40" s="12">
        <f>I40+M40</f>
        <v/>
      </c>
      <c r="O40" s="22">
        <f>N40/K40</f>
        <v/>
      </c>
      <c r="P40" s="12">
        <f>S39*INDEX(Monthly!$D$1:$D$500,$AE40)/INDEX(Monthly!$D$1:$D$500,$AE39)</f>
        <v/>
      </c>
      <c r="Q40" s="13">
        <f>INDEX(Monthly!$D$1:$D$500,$AE40)/INDEX(Monthly!$D$1:$D$500,$AE39)-1</f>
        <v/>
      </c>
      <c r="R40" s="52">
        <f>IF($X40="Yes",W40*$D$5/100-P40,0)</f>
        <v/>
      </c>
      <c r="S40" s="12">
        <f>P40+R40</f>
        <v/>
      </c>
      <c r="T40" s="12">
        <f>V39</f>
        <v/>
      </c>
      <c r="U40" s="52">
        <f>IF($X40="Yes",W40*$E$5/100-T40,0)</f>
        <v/>
      </c>
      <c r="V40" s="12">
        <f>T40+U40</f>
        <v/>
      </c>
      <c r="W40" s="11">
        <f>B40+I40+P40+T40</f>
        <v/>
      </c>
      <c r="X40" s="12" t="inlineStr">
        <is>
          <t>no December yet</t>
        </is>
      </c>
      <c r="Y40" s="13">
        <f>W40/W39-1</f>
        <v/>
      </c>
      <c r="Z40" s="19">
        <f>INDEX(Data!$H$1:$H$500,$AE40)</f>
        <v/>
      </c>
      <c r="AA40" s="12">
        <f>W40/INDEX(Monthly!$F$1:$F$500,$AE40)</f>
        <v/>
      </c>
      <c r="AB40" s="13">
        <f>(W40/$B$3)^(12/($AE40-5))-1</f>
        <v/>
      </c>
      <c r="AC40" s="12">
        <f>INDEX(Monthly!$K$1:$K$500,$AE40)</f>
        <v/>
      </c>
      <c r="AD40" s="42">
        <f>W40-AC40</f>
        <v/>
      </c>
      <c r="AE40" s="53">
        <f>'Year by year'!C36</f>
        <v/>
      </c>
      <c r="AF40" s="19">
        <f>MAX(ABS(B40/W40*100-$B$5),ABS(I40/W40*100-$C$5),ABS(P40/W40*100-$D$5),ABS(T40/W40*100-$E$5))</f>
        <v/>
      </c>
    </row>
    <row r="42">
      <c r="A42" s="5" t="inlineStr">
        <is>
          <t>Final value with rebalancing Rs</t>
        </is>
      </c>
      <c r="B42" s="11">
        <f>W40</f>
        <v/>
      </c>
    </row>
    <row r="43">
      <c r="A43" s="5" t="inlineStr">
        <is>
          <t>Final value without rebalancing (buy and hold) Rs</t>
        </is>
      </c>
      <c r="B43" s="11">
        <f>AC40</f>
        <v/>
      </c>
    </row>
    <row r="44">
      <c r="A44" s="5" t="inlineStr">
        <is>
          <t>Difference Rs</t>
        </is>
      </c>
      <c r="B44" s="39">
        <f>W40-AC40</f>
        <v/>
      </c>
    </row>
    <row r="45">
      <c r="A45" s="5" t="inlineStr">
        <is>
          <t>Years rebalanced</t>
        </is>
      </c>
      <c r="B45" s="54">
        <f>COUNTIF(X9:X40,"Yes")</f>
        <v/>
      </c>
    </row>
    <row r="46">
      <c r="A46" s="5" t="inlineStr">
        <is>
          <t>Growth per year with rebalancing</t>
        </is>
      </c>
      <c r="B46" s="40">
        <f>(W40/$B$3)^(12/(AE40-5))-1</f>
        <v/>
      </c>
    </row>
    <row r="47">
      <c r="A47" s="5" t="inlineStr">
        <is>
          <t>Growth per year without rebalancing</t>
        </is>
      </c>
      <c r="B47" s="40">
        <f>(AC40/$B$3)^(12/(AE40-5))-1</f>
        <v/>
      </c>
    </row>
    <row r="48">
      <c r="A48" s="5" t="inlineStr">
        <is>
          <t>Value after inflation with rebalancing Rs</t>
        </is>
      </c>
      <c r="B48" s="11">
        <f>AA40</f>
        <v/>
      </c>
    </row>
    <row r="49">
      <c r="A49" s="5" t="inlineStr">
        <is>
          <t>Nifty shares held at the end (start: the 1995 Dec row)</t>
        </is>
      </c>
      <c r="B49" s="38">
        <f>H40</f>
        <v/>
      </c>
    </row>
    <row r="50">
      <c r="A50" s="5" t="inlineStr">
        <is>
          <t>Nifty shares bought in all rebalances</t>
        </is>
      </c>
      <c r="B50" s="38">
        <f>SUMIF(E9:E40,"&gt;0")</f>
        <v/>
      </c>
    </row>
    <row r="51">
      <c r="A51" s="5" t="inlineStr">
        <is>
          <t>Nifty shares sold in all rebalances</t>
        </is>
      </c>
      <c r="B51" s="38">
        <f>-SUMIF(E9:E40,"&lt;0")</f>
        <v/>
      </c>
    </row>
    <row r="52">
      <c r="A52" s="5" t="inlineStr">
        <is>
          <t>Gold grams held at the end (start: the 1995 Dec row)</t>
        </is>
      </c>
      <c r="B52" s="38">
        <f>O40</f>
        <v/>
      </c>
    </row>
    <row r="53">
      <c r="A53" s="5" t="inlineStr">
        <is>
          <t>Gold grams bought in all rebalances</t>
        </is>
      </c>
      <c r="B53" s="38">
        <f>SUMIF(L9:L40,"&gt;0")</f>
        <v/>
      </c>
    </row>
    <row r="54">
      <c r="A54" s="5" t="inlineStr">
        <is>
          <t>Gold grams sold in all rebalances</t>
        </is>
      </c>
      <c r="B54" s="38">
        <f>-SUMIF(L9:L40,"&lt;0")</f>
        <v/>
      </c>
    </row>
    <row r="56">
      <c r="A56" s="28" t="inlineStr">
        <is>
          <t>The last row ends at the last complete month (no December review yet). Change B2 to 0 to rebalance every December.</t>
        </is>
      </c>
    </row>
  </sheetData>
  <mergeCells count="1">
    <mergeCell ref="A6:A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Year-end comparison: buy and hold vs with rebalancing (tolerance from 'Rebalance year by year'!B2)</t>
        </is>
      </c>
    </row>
    <row r="2">
      <c r="A2" t="inlineStr">
        <is>
          <t>Tolerance (points)</t>
        </is>
      </c>
      <c r="B2" s="9">
        <f>'Rebalance year by year'!B2</f>
        <v/>
      </c>
    </row>
    <row r="4">
      <c r="A4" s="55" t="inlineStr">
        <is>
          <t>Year</t>
        </is>
      </c>
      <c r="B4" s="55" t="inlineStr">
        <is>
          <t>Buy &amp; hold Rs</t>
        </is>
      </c>
      <c r="C4" s="55" t="inlineStr">
        <is>
          <t>With rebalance Rs</t>
        </is>
      </c>
      <c r="D4" s="55" t="inlineStr">
        <is>
          <t>Difference Rs</t>
        </is>
      </c>
      <c r="E4" s="55" t="inlineStr">
        <is>
          <t>Action</t>
        </is>
      </c>
    </row>
    <row r="5">
      <c r="A5" s="6">
        <f>'Rebalance year by year'!A10</f>
        <v/>
      </c>
      <c r="B5" s="12">
        <f>'Rebalance year by year'!AC10</f>
        <v/>
      </c>
      <c r="C5" s="12">
        <f>'Rebalance year by year'!W10</f>
        <v/>
      </c>
      <c r="D5" s="42">
        <f>'Rebalance year by year'!W10-'Rebalance year by year'!AC10</f>
        <v/>
      </c>
      <c r="E5" s="6">
        <f>IF('Rebalance year by year'!X10="Yes","Rebalanced",IF('Rebalance year by year'!X10="No","Within band",'Rebalance year by year'!X10))</f>
        <v/>
      </c>
    </row>
    <row r="6">
      <c r="A6" s="6">
        <f>'Rebalance year by year'!A11</f>
        <v/>
      </c>
      <c r="B6" s="12">
        <f>'Rebalance year by year'!AC11</f>
        <v/>
      </c>
      <c r="C6" s="12">
        <f>'Rebalance year by year'!W11</f>
        <v/>
      </c>
      <c r="D6" s="42">
        <f>'Rebalance year by year'!W11-'Rebalance year by year'!AC11</f>
        <v/>
      </c>
      <c r="E6" s="6">
        <f>IF('Rebalance year by year'!X11="Yes","Rebalanced",IF('Rebalance year by year'!X11="No","Within band",'Rebalance year by year'!X11))</f>
        <v/>
      </c>
    </row>
    <row r="7">
      <c r="A7" s="6">
        <f>'Rebalance year by year'!A12</f>
        <v/>
      </c>
      <c r="B7" s="12">
        <f>'Rebalance year by year'!AC12</f>
        <v/>
      </c>
      <c r="C7" s="12">
        <f>'Rebalance year by year'!W12</f>
        <v/>
      </c>
      <c r="D7" s="42">
        <f>'Rebalance year by year'!W12-'Rebalance year by year'!AC12</f>
        <v/>
      </c>
      <c r="E7" s="6">
        <f>IF('Rebalance year by year'!X12="Yes","Rebalanced",IF('Rebalance year by year'!X12="No","Within band",'Rebalance year by year'!X12))</f>
        <v/>
      </c>
    </row>
    <row r="8">
      <c r="A8" s="6">
        <f>'Rebalance year by year'!A13</f>
        <v/>
      </c>
      <c r="B8" s="12">
        <f>'Rebalance year by year'!AC13</f>
        <v/>
      </c>
      <c r="C8" s="12">
        <f>'Rebalance year by year'!W13</f>
        <v/>
      </c>
      <c r="D8" s="42">
        <f>'Rebalance year by year'!W13-'Rebalance year by year'!AC13</f>
        <v/>
      </c>
      <c r="E8" s="6">
        <f>IF('Rebalance year by year'!X13="Yes","Rebalanced",IF('Rebalance year by year'!X13="No","Within band",'Rebalance year by year'!X13))</f>
        <v/>
      </c>
    </row>
    <row r="9">
      <c r="A9" s="6">
        <f>'Rebalance year by year'!A14</f>
        <v/>
      </c>
      <c r="B9" s="12">
        <f>'Rebalance year by year'!AC14</f>
        <v/>
      </c>
      <c r="C9" s="12">
        <f>'Rebalance year by year'!W14</f>
        <v/>
      </c>
      <c r="D9" s="42">
        <f>'Rebalance year by year'!W14-'Rebalance year by year'!AC14</f>
        <v/>
      </c>
      <c r="E9" s="6">
        <f>IF('Rebalance year by year'!X14="Yes","Rebalanced",IF('Rebalance year by year'!X14="No","Within band",'Rebalance year by year'!X14))</f>
        <v/>
      </c>
    </row>
    <row r="10">
      <c r="A10" s="6">
        <f>'Rebalance year by year'!A15</f>
        <v/>
      </c>
      <c r="B10" s="12">
        <f>'Rebalance year by year'!AC15</f>
        <v/>
      </c>
      <c r="C10" s="12">
        <f>'Rebalance year by year'!W15</f>
        <v/>
      </c>
      <c r="D10" s="42">
        <f>'Rebalance year by year'!W15-'Rebalance year by year'!AC15</f>
        <v/>
      </c>
      <c r="E10" s="6">
        <f>IF('Rebalance year by year'!X15="Yes","Rebalanced",IF('Rebalance year by year'!X15="No","Within band",'Rebalance year by year'!X15))</f>
        <v/>
      </c>
    </row>
    <row r="11">
      <c r="A11" s="6">
        <f>'Rebalance year by year'!A16</f>
        <v/>
      </c>
      <c r="B11" s="12">
        <f>'Rebalance year by year'!AC16</f>
        <v/>
      </c>
      <c r="C11" s="12">
        <f>'Rebalance year by year'!W16</f>
        <v/>
      </c>
      <c r="D11" s="42">
        <f>'Rebalance year by year'!W16-'Rebalance year by year'!AC16</f>
        <v/>
      </c>
      <c r="E11" s="6">
        <f>IF('Rebalance year by year'!X16="Yes","Rebalanced",IF('Rebalance year by year'!X16="No","Within band",'Rebalance year by year'!X16))</f>
        <v/>
      </c>
    </row>
    <row r="12">
      <c r="A12" s="6">
        <f>'Rebalance year by year'!A17</f>
        <v/>
      </c>
      <c r="B12" s="12">
        <f>'Rebalance year by year'!AC17</f>
        <v/>
      </c>
      <c r="C12" s="12">
        <f>'Rebalance year by year'!W17</f>
        <v/>
      </c>
      <c r="D12" s="42">
        <f>'Rebalance year by year'!W17-'Rebalance year by year'!AC17</f>
        <v/>
      </c>
      <c r="E12" s="6">
        <f>IF('Rebalance year by year'!X17="Yes","Rebalanced",IF('Rebalance year by year'!X17="No","Within band",'Rebalance year by year'!X17))</f>
        <v/>
      </c>
    </row>
    <row r="13">
      <c r="A13" s="6">
        <f>'Rebalance year by year'!A18</f>
        <v/>
      </c>
      <c r="B13" s="12">
        <f>'Rebalance year by year'!AC18</f>
        <v/>
      </c>
      <c r="C13" s="12">
        <f>'Rebalance year by year'!W18</f>
        <v/>
      </c>
      <c r="D13" s="42">
        <f>'Rebalance year by year'!W18-'Rebalance year by year'!AC18</f>
        <v/>
      </c>
      <c r="E13" s="6">
        <f>IF('Rebalance year by year'!X18="Yes","Rebalanced",IF('Rebalance year by year'!X18="No","Within band",'Rebalance year by year'!X18))</f>
        <v/>
      </c>
    </row>
    <row r="14">
      <c r="A14" s="6">
        <f>'Rebalance year by year'!A19</f>
        <v/>
      </c>
      <c r="B14" s="12">
        <f>'Rebalance year by year'!AC19</f>
        <v/>
      </c>
      <c r="C14" s="12">
        <f>'Rebalance year by year'!W19</f>
        <v/>
      </c>
      <c r="D14" s="42">
        <f>'Rebalance year by year'!W19-'Rebalance year by year'!AC19</f>
        <v/>
      </c>
      <c r="E14" s="6">
        <f>IF('Rebalance year by year'!X19="Yes","Rebalanced",IF('Rebalance year by year'!X19="No","Within band",'Rebalance year by year'!X19))</f>
        <v/>
      </c>
    </row>
    <row r="15">
      <c r="A15" s="6">
        <f>'Rebalance year by year'!A20</f>
        <v/>
      </c>
      <c r="B15" s="12">
        <f>'Rebalance year by year'!AC20</f>
        <v/>
      </c>
      <c r="C15" s="12">
        <f>'Rebalance year by year'!W20</f>
        <v/>
      </c>
      <c r="D15" s="42">
        <f>'Rebalance year by year'!W20-'Rebalance year by year'!AC20</f>
        <v/>
      </c>
      <c r="E15" s="6">
        <f>IF('Rebalance year by year'!X20="Yes","Rebalanced",IF('Rebalance year by year'!X20="No","Within band",'Rebalance year by year'!X20))</f>
        <v/>
      </c>
    </row>
    <row r="16">
      <c r="A16" s="6">
        <f>'Rebalance year by year'!A21</f>
        <v/>
      </c>
      <c r="B16" s="12">
        <f>'Rebalance year by year'!AC21</f>
        <v/>
      </c>
      <c r="C16" s="12">
        <f>'Rebalance year by year'!W21</f>
        <v/>
      </c>
      <c r="D16" s="42">
        <f>'Rebalance year by year'!W21-'Rebalance year by year'!AC21</f>
        <v/>
      </c>
      <c r="E16" s="6">
        <f>IF('Rebalance year by year'!X21="Yes","Rebalanced",IF('Rebalance year by year'!X21="No","Within band",'Rebalance year by year'!X21))</f>
        <v/>
      </c>
    </row>
    <row r="17">
      <c r="A17" s="6">
        <f>'Rebalance year by year'!A22</f>
        <v/>
      </c>
      <c r="B17" s="12">
        <f>'Rebalance year by year'!AC22</f>
        <v/>
      </c>
      <c r="C17" s="12">
        <f>'Rebalance year by year'!W22</f>
        <v/>
      </c>
      <c r="D17" s="42">
        <f>'Rebalance year by year'!W22-'Rebalance year by year'!AC22</f>
        <v/>
      </c>
      <c r="E17" s="6">
        <f>IF('Rebalance year by year'!X22="Yes","Rebalanced",IF('Rebalance year by year'!X22="No","Within band",'Rebalance year by year'!X22))</f>
        <v/>
      </c>
    </row>
    <row r="18">
      <c r="A18" s="6">
        <f>'Rebalance year by year'!A23</f>
        <v/>
      </c>
      <c r="B18" s="12">
        <f>'Rebalance year by year'!AC23</f>
        <v/>
      </c>
      <c r="C18" s="12">
        <f>'Rebalance year by year'!W23</f>
        <v/>
      </c>
      <c r="D18" s="42">
        <f>'Rebalance year by year'!W23-'Rebalance year by year'!AC23</f>
        <v/>
      </c>
      <c r="E18" s="6">
        <f>IF('Rebalance year by year'!X23="Yes","Rebalanced",IF('Rebalance year by year'!X23="No","Within band",'Rebalance year by year'!X23))</f>
        <v/>
      </c>
    </row>
    <row r="19">
      <c r="A19" s="6">
        <f>'Rebalance year by year'!A24</f>
        <v/>
      </c>
      <c r="B19" s="12">
        <f>'Rebalance year by year'!AC24</f>
        <v/>
      </c>
      <c r="C19" s="12">
        <f>'Rebalance year by year'!W24</f>
        <v/>
      </c>
      <c r="D19" s="42">
        <f>'Rebalance year by year'!W24-'Rebalance year by year'!AC24</f>
        <v/>
      </c>
      <c r="E19" s="6">
        <f>IF('Rebalance year by year'!X24="Yes","Rebalanced",IF('Rebalance year by year'!X24="No","Within band",'Rebalance year by year'!X24))</f>
        <v/>
      </c>
    </row>
    <row r="20">
      <c r="A20" s="6">
        <f>'Rebalance year by year'!A25</f>
        <v/>
      </c>
      <c r="B20" s="12">
        <f>'Rebalance year by year'!AC25</f>
        <v/>
      </c>
      <c r="C20" s="12">
        <f>'Rebalance year by year'!W25</f>
        <v/>
      </c>
      <c r="D20" s="42">
        <f>'Rebalance year by year'!W25-'Rebalance year by year'!AC25</f>
        <v/>
      </c>
      <c r="E20" s="6">
        <f>IF('Rebalance year by year'!X25="Yes","Rebalanced",IF('Rebalance year by year'!X25="No","Within band",'Rebalance year by year'!X25))</f>
        <v/>
      </c>
    </row>
    <row r="21">
      <c r="A21" s="6">
        <f>'Rebalance year by year'!A26</f>
        <v/>
      </c>
      <c r="B21" s="12">
        <f>'Rebalance year by year'!AC26</f>
        <v/>
      </c>
      <c r="C21" s="12">
        <f>'Rebalance year by year'!W26</f>
        <v/>
      </c>
      <c r="D21" s="42">
        <f>'Rebalance year by year'!W26-'Rebalance year by year'!AC26</f>
        <v/>
      </c>
      <c r="E21" s="6">
        <f>IF('Rebalance year by year'!X26="Yes","Rebalanced",IF('Rebalance year by year'!X26="No","Within band",'Rebalance year by year'!X26))</f>
        <v/>
      </c>
    </row>
    <row r="22">
      <c r="A22" s="6">
        <f>'Rebalance year by year'!A27</f>
        <v/>
      </c>
      <c r="B22" s="12">
        <f>'Rebalance year by year'!AC27</f>
        <v/>
      </c>
      <c r="C22" s="12">
        <f>'Rebalance year by year'!W27</f>
        <v/>
      </c>
      <c r="D22" s="42">
        <f>'Rebalance year by year'!W27-'Rebalance year by year'!AC27</f>
        <v/>
      </c>
      <c r="E22" s="6">
        <f>IF('Rebalance year by year'!X27="Yes","Rebalanced",IF('Rebalance year by year'!X27="No","Within band",'Rebalance year by year'!X27))</f>
        <v/>
      </c>
    </row>
    <row r="23">
      <c r="A23" s="6">
        <f>'Rebalance year by year'!A28</f>
        <v/>
      </c>
      <c r="B23" s="12">
        <f>'Rebalance year by year'!AC28</f>
        <v/>
      </c>
      <c r="C23" s="12">
        <f>'Rebalance year by year'!W28</f>
        <v/>
      </c>
      <c r="D23" s="42">
        <f>'Rebalance year by year'!W28-'Rebalance year by year'!AC28</f>
        <v/>
      </c>
      <c r="E23" s="6">
        <f>IF('Rebalance year by year'!X28="Yes","Rebalanced",IF('Rebalance year by year'!X28="No","Within band",'Rebalance year by year'!X28))</f>
        <v/>
      </c>
    </row>
    <row r="24">
      <c r="A24" s="6">
        <f>'Rebalance year by year'!A29</f>
        <v/>
      </c>
      <c r="B24" s="12">
        <f>'Rebalance year by year'!AC29</f>
        <v/>
      </c>
      <c r="C24" s="12">
        <f>'Rebalance year by year'!W29</f>
        <v/>
      </c>
      <c r="D24" s="42">
        <f>'Rebalance year by year'!W29-'Rebalance year by year'!AC29</f>
        <v/>
      </c>
      <c r="E24" s="6">
        <f>IF('Rebalance year by year'!X29="Yes","Rebalanced",IF('Rebalance year by year'!X29="No","Within band",'Rebalance year by year'!X29))</f>
        <v/>
      </c>
    </row>
    <row r="25">
      <c r="A25" s="6">
        <f>'Rebalance year by year'!A30</f>
        <v/>
      </c>
      <c r="B25" s="12">
        <f>'Rebalance year by year'!AC30</f>
        <v/>
      </c>
      <c r="C25" s="12">
        <f>'Rebalance year by year'!W30</f>
        <v/>
      </c>
      <c r="D25" s="42">
        <f>'Rebalance year by year'!W30-'Rebalance year by year'!AC30</f>
        <v/>
      </c>
      <c r="E25" s="6">
        <f>IF('Rebalance year by year'!X30="Yes","Rebalanced",IF('Rebalance year by year'!X30="No","Within band",'Rebalance year by year'!X30))</f>
        <v/>
      </c>
    </row>
    <row r="26">
      <c r="A26" s="6">
        <f>'Rebalance year by year'!A31</f>
        <v/>
      </c>
      <c r="B26" s="12">
        <f>'Rebalance year by year'!AC31</f>
        <v/>
      </c>
      <c r="C26" s="12">
        <f>'Rebalance year by year'!W31</f>
        <v/>
      </c>
      <c r="D26" s="42">
        <f>'Rebalance year by year'!W31-'Rebalance year by year'!AC31</f>
        <v/>
      </c>
      <c r="E26" s="6">
        <f>IF('Rebalance year by year'!X31="Yes","Rebalanced",IF('Rebalance year by year'!X31="No","Within band",'Rebalance year by year'!X31))</f>
        <v/>
      </c>
    </row>
    <row r="27">
      <c r="A27" s="6">
        <f>'Rebalance year by year'!A32</f>
        <v/>
      </c>
      <c r="B27" s="12">
        <f>'Rebalance year by year'!AC32</f>
        <v/>
      </c>
      <c r="C27" s="12">
        <f>'Rebalance year by year'!W32</f>
        <v/>
      </c>
      <c r="D27" s="42">
        <f>'Rebalance year by year'!W32-'Rebalance year by year'!AC32</f>
        <v/>
      </c>
      <c r="E27" s="6">
        <f>IF('Rebalance year by year'!X32="Yes","Rebalanced",IF('Rebalance year by year'!X32="No","Within band",'Rebalance year by year'!X32))</f>
        <v/>
      </c>
    </row>
    <row r="28">
      <c r="A28" s="6">
        <f>'Rebalance year by year'!A33</f>
        <v/>
      </c>
      <c r="B28" s="12">
        <f>'Rebalance year by year'!AC33</f>
        <v/>
      </c>
      <c r="C28" s="12">
        <f>'Rebalance year by year'!W33</f>
        <v/>
      </c>
      <c r="D28" s="42">
        <f>'Rebalance year by year'!W33-'Rebalance year by year'!AC33</f>
        <v/>
      </c>
      <c r="E28" s="6">
        <f>IF('Rebalance year by year'!X33="Yes","Rebalanced",IF('Rebalance year by year'!X33="No","Within band",'Rebalance year by year'!X33))</f>
        <v/>
      </c>
    </row>
    <row r="29">
      <c r="A29" s="6">
        <f>'Rebalance year by year'!A34</f>
        <v/>
      </c>
      <c r="B29" s="12">
        <f>'Rebalance year by year'!AC34</f>
        <v/>
      </c>
      <c r="C29" s="12">
        <f>'Rebalance year by year'!W34</f>
        <v/>
      </c>
      <c r="D29" s="42">
        <f>'Rebalance year by year'!W34-'Rebalance year by year'!AC34</f>
        <v/>
      </c>
      <c r="E29" s="6">
        <f>IF('Rebalance year by year'!X34="Yes","Rebalanced",IF('Rebalance year by year'!X34="No","Within band",'Rebalance year by year'!X34))</f>
        <v/>
      </c>
    </row>
    <row r="30">
      <c r="A30" s="6">
        <f>'Rebalance year by year'!A35</f>
        <v/>
      </c>
      <c r="B30" s="12">
        <f>'Rebalance year by year'!AC35</f>
        <v/>
      </c>
      <c r="C30" s="12">
        <f>'Rebalance year by year'!W35</f>
        <v/>
      </c>
      <c r="D30" s="42">
        <f>'Rebalance year by year'!W35-'Rebalance year by year'!AC35</f>
        <v/>
      </c>
      <c r="E30" s="6">
        <f>IF('Rebalance year by year'!X35="Yes","Rebalanced",IF('Rebalance year by year'!X35="No","Within band",'Rebalance year by year'!X35))</f>
        <v/>
      </c>
    </row>
    <row r="31">
      <c r="A31" s="6">
        <f>'Rebalance year by year'!A36</f>
        <v/>
      </c>
      <c r="B31" s="12">
        <f>'Rebalance year by year'!AC36</f>
        <v/>
      </c>
      <c r="C31" s="12">
        <f>'Rebalance year by year'!W36</f>
        <v/>
      </c>
      <c r="D31" s="42">
        <f>'Rebalance year by year'!W36-'Rebalance year by year'!AC36</f>
        <v/>
      </c>
      <c r="E31" s="6">
        <f>IF('Rebalance year by year'!X36="Yes","Rebalanced",IF('Rebalance year by year'!X36="No","Within band",'Rebalance year by year'!X36))</f>
        <v/>
      </c>
    </row>
    <row r="32">
      <c r="A32" s="6">
        <f>'Rebalance year by year'!A37</f>
        <v/>
      </c>
      <c r="B32" s="12">
        <f>'Rebalance year by year'!AC37</f>
        <v/>
      </c>
      <c r="C32" s="12">
        <f>'Rebalance year by year'!W37</f>
        <v/>
      </c>
      <c r="D32" s="42">
        <f>'Rebalance year by year'!W37-'Rebalance year by year'!AC37</f>
        <v/>
      </c>
      <c r="E32" s="6">
        <f>IF('Rebalance year by year'!X37="Yes","Rebalanced",IF('Rebalance year by year'!X37="No","Within band",'Rebalance year by year'!X37))</f>
        <v/>
      </c>
    </row>
    <row r="33">
      <c r="A33" s="6">
        <f>'Rebalance year by year'!A38</f>
        <v/>
      </c>
      <c r="B33" s="12">
        <f>'Rebalance year by year'!AC38</f>
        <v/>
      </c>
      <c r="C33" s="12">
        <f>'Rebalance year by year'!W38</f>
        <v/>
      </c>
      <c r="D33" s="42">
        <f>'Rebalance year by year'!W38-'Rebalance year by year'!AC38</f>
        <v/>
      </c>
      <c r="E33" s="6">
        <f>IF('Rebalance year by year'!X38="Yes","Rebalanced",IF('Rebalance year by year'!X38="No","Within band",'Rebalance year by year'!X38))</f>
        <v/>
      </c>
    </row>
    <row r="34">
      <c r="A34" s="6">
        <f>'Rebalance year by year'!A39</f>
        <v/>
      </c>
      <c r="B34" s="12">
        <f>'Rebalance year by year'!AC39</f>
        <v/>
      </c>
      <c r="C34" s="12">
        <f>'Rebalance year by year'!W39</f>
        <v/>
      </c>
      <c r="D34" s="42">
        <f>'Rebalance year by year'!W39-'Rebalance year by year'!AC39</f>
        <v/>
      </c>
      <c r="E34" s="6">
        <f>IF('Rebalance year by year'!X39="Yes","Rebalanced",IF('Rebalance year by year'!X39="No","Within band",'Rebalance year by year'!X39))</f>
        <v/>
      </c>
    </row>
    <row r="35">
      <c r="A35" s="6">
        <f>'Rebalance year by year'!A40</f>
        <v/>
      </c>
      <c r="B35" s="12">
        <f>'Rebalance year by year'!AC40</f>
        <v/>
      </c>
      <c r="C35" s="12">
        <f>'Rebalance year by year'!W40</f>
        <v/>
      </c>
      <c r="D35" s="42">
        <f>'Rebalance year by year'!W40-'Rebalance year by year'!AC40</f>
        <v/>
      </c>
      <c r="E35" s="6">
        <f>IF('Rebalance year by year'!X40="Yes","Rebalanced",IF('Rebalance year by year'!X40="No","Within band",'Rebalance year by year'!X40))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8" customWidth="1" min="4" max="4"/>
    <col width="18" customWidth="1" min="5" max="5"/>
    <col width="12" customWidth="1" min="6" max="6"/>
    <col width="16" customWidth="1" min="7" max="7"/>
    <col width="50" customWidth="1" min="8" max="8"/>
    <col width="12" customWidth="1" min="9" max="9"/>
    <col width="20" customWidth="1" min="10" max="10"/>
    <col width="22" customWidth="1" min="11" max="11"/>
    <col width="20" customWidth="1" min="12" max="12"/>
  </cols>
  <sheetData>
    <row r="1">
      <c r="A1" s="4" t="inlineStr">
        <is>
          <t>Bonds calculation, year by year</t>
        </is>
      </c>
    </row>
    <row r="2" ht="76" customHeight="1">
      <c r="A2" s="24" t="inlineStr">
        <is>
          <t>Until 2011 a year's Bonds return is the SBI year-end FD rate (its first value, 9.00%, is applied to 1996-98 because the SBI series starts in 1999). 2012-2014 use the 2011 rate (no data). From 2015 it is the move of the NIFTY Composite G-sec Index: this period's close / last December's close - 1 (the index starts on 2015-10-13, so 2015 runs from that first close; 2026 runs from the 2025 December close to the last complete month). The whole year's return is added once, in December (2026: in the last complete month); the other months get 0%. Bonds x = previous Bonds x x (1 + return).</t>
        </is>
      </c>
    </row>
    <row r="3">
      <c r="A3" s="5" t="inlineStr">
        <is>
          <t>Capital Rs</t>
        </is>
      </c>
      <c r="B3" s="21">
        <f>Calculator!B4</f>
        <v/>
      </c>
      <c r="D3" s="5" t="inlineStr">
        <is>
          <t>Bonds %</t>
        </is>
      </c>
      <c r="E3" s="9">
        <f>Calculator!B7</f>
        <v/>
      </c>
    </row>
    <row r="5">
      <c r="A5" s="15" t="inlineStr">
        <is>
          <t>Year</t>
        </is>
      </c>
      <c r="B5" s="15" t="inlineStr">
        <is>
          <t>Source</t>
        </is>
      </c>
      <c r="C5" s="15" t="inlineStr">
        <is>
          <t>FD rate % (until 2014)</t>
        </is>
      </c>
      <c r="D5" s="15" t="inlineStr">
        <is>
          <t>G-sec close (end of period)</t>
        </is>
      </c>
      <c r="E5" s="15" t="inlineStr">
        <is>
          <t>G-sec close (start)</t>
        </is>
      </c>
      <c r="F5" s="15" t="inlineStr">
        <is>
          <t>Months in period</t>
        </is>
      </c>
      <c r="G5" s="15" t="inlineStr">
        <is>
          <t>Return % of the period</t>
        </is>
      </c>
      <c r="H5" s="15" t="inlineStr">
        <is>
          <t>How the return is worked out</t>
        </is>
      </c>
      <c r="I5" s="15" t="inlineStr">
        <is>
          <t>Bonds x</t>
        </is>
      </c>
      <c r="J5" s="15" t="inlineStr">
        <is>
          <t>100% in Bonds: value Rs</t>
        </is>
      </c>
      <c r="K5" s="15" t="inlineStr">
        <is>
          <t>Your Bonds amount: value Rs</t>
        </is>
      </c>
      <c r="L5" s="15" t="inlineStr">
        <is>
          <t>Added in month (1-12)</t>
        </is>
      </c>
    </row>
    <row r="6">
      <c r="A6" s="6" t="n">
        <v>1996</v>
      </c>
      <c r="B6" s="6" t="inlineStr">
        <is>
          <t>SBI first value (1999) applied</t>
        </is>
      </c>
      <c r="C6" s="19">
        <f>C9</f>
        <v/>
      </c>
      <c r="D6" s="25" t="n"/>
      <c r="E6" s="25" t="n"/>
      <c r="F6" s="6" t="n">
        <v>12</v>
      </c>
      <c r="G6" s="19">
        <f>C6</f>
        <v/>
      </c>
      <c r="H6" s="6">
        <f>"FD rate of the year = "&amp;TEXT(C6,"0.00")&amp;"%"</f>
        <v/>
      </c>
      <c r="I6" s="16">
        <f>1*(1+G6/100)</f>
        <v/>
      </c>
      <c r="J6" s="12">
        <f>$B$3*I6</f>
        <v/>
      </c>
      <c r="K6" s="12">
        <f>$B$3*$E$3/100*I6</f>
        <v/>
      </c>
      <c r="L6" s="16">
        <f>F6</f>
        <v/>
      </c>
    </row>
    <row r="7">
      <c r="A7" s="6" t="n">
        <v>1997</v>
      </c>
      <c r="B7" s="6" t="inlineStr">
        <is>
          <t>SBI first value (1999) applied</t>
        </is>
      </c>
      <c r="C7" s="19">
        <f>C9</f>
        <v/>
      </c>
      <c r="D7" s="25" t="n"/>
      <c r="E7" s="25" t="n"/>
      <c r="F7" s="6" t="n">
        <v>12</v>
      </c>
      <c r="G7" s="19">
        <f>C7</f>
        <v/>
      </c>
      <c r="H7" s="6">
        <f>"FD rate of the year = "&amp;TEXT(C7,"0.00")&amp;"%"</f>
        <v/>
      </c>
      <c r="I7" s="16">
        <f>I6*(1+G7/100)</f>
        <v/>
      </c>
      <c r="J7" s="12">
        <f>$B$3*I7</f>
        <v/>
      </c>
      <c r="K7" s="12">
        <f>$B$3*$E$3/100*I7</f>
        <v/>
      </c>
      <c r="L7" s="16">
        <f>F7</f>
        <v/>
      </c>
    </row>
    <row r="8">
      <c r="A8" s="6" t="n">
        <v>1998</v>
      </c>
      <c r="B8" s="6" t="inlineStr">
        <is>
          <t>SBI first value (1999) applied</t>
        </is>
      </c>
      <c r="C8" s="19">
        <f>C9</f>
        <v/>
      </c>
      <c r="D8" s="25" t="n"/>
      <c r="E8" s="25" t="n"/>
      <c r="F8" s="6" t="n">
        <v>12</v>
      </c>
      <c r="G8" s="19">
        <f>C8</f>
        <v/>
      </c>
      <c r="H8" s="6">
        <f>"FD rate of the year = "&amp;TEXT(C8,"0.00")&amp;"%"</f>
        <v/>
      </c>
      <c r="I8" s="16">
        <f>I7*(1+G8/100)</f>
        <v/>
      </c>
      <c r="J8" s="12">
        <f>$B$3*I8</f>
        <v/>
      </c>
      <c r="K8" s="12">
        <f>$B$3*$E$3/100*I8</f>
        <v/>
      </c>
      <c r="L8" s="16">
        <f>F8</f>
        <v/>
      </c>
    </row>
    <row r="9">
      <c r="A9" s="6" t="n">
        <v>1999</v>
      </c>
      <c r="B9" s="6" t="inlineStr">
        <is>
          <t>SBI year-end (API)</t>
        </is>
      </c>
      <c r="C9" s="26" t="n">
        <v>9</v>
      </c>
      <c r="D9" s="25" t="n"/>
      <c r="E9" s="25" t="n"/>
      <c r="F9" s="6" t="n">
        <v>12</v>
      </c>
      <c r="G9" s="19">
        <f>C9</f>
        <v/>
      </c>
      <c r="H9" s="6">
        <f>"FD rate of the year = "&amp;TEXT(C9,"0.00")&amp;"%"</f>
        <v/>
      </c>
      <c r="I9" s="16">
        <f>I8*(1+G9/100)</f>
        <v/>
      </c>
      <c r="J9" s="12">
        <f>$B$3*I9</f>
        <v/>
      </c>
      <c r="K9" s="12">
        <f>$B$3*$E$3/100*I9</f>
        <v/>
      </c>
      <c r="L9" s="16">
        <f>F9</f>
        <v/>
      </c>
    </row>
    <row r="10">
      <c r="A10" s="6" t="n">
        <v>2000</v>
      </c>
      <c r="B10" s="6" t="inlineStr">
        <is>
          <t>SBI year-end (API)</t>
        </is>
      </c>
      <c r="C10" s="26" t="n">
        <v>8.5</v>
      </c>
      <c r="D10" s="25" t="n"/>
      <c r="E10" s="25" t="n"/>
      <c r="F10" s="6" t="n">
        <v>12</v>
      </c>
      <c r="G10" s="19">
        <f>C10</f>
        <v/>
      </c>
      <c r="H10" s="6">
        <f>"FD rate of the year = "&amp;TEXT(C10,"0.00")&amp;"%"</f>
        <v/>
      </c>
      <c r="I10" s="16">
        <f>I9*(1+G10/100)</f>
        <v/>
      </c>
      <c r="J10" s="12">
        <f>$B$3*I10</f>
        <v/>
      </c>
      <c r="K10" s="12">
        <f>$B$3*$E$3/100*I10</f>
        <v/>
      </c>
      <c r="L10" s="16">
        <f>F10</f>
        <v/>
      </c>
    </row>
    <row r="11">
      <c r="A11" s="6" t="n">
        <v>2001</v>
      </c>
      <c r="B11" s="6" t="inlineStr">
        <is>
          <t>SBI year-end (API)</t>
        </is>
      </c>
      <c r="C11" s="26" t="n">
        <v>7.75</v>
      </c>
      <c r="D11" s="25" t="n"/>
      <c r="E11" s="25" t="n"/>
      <c r="F11" s="6" t="n">
        <v>12</v>
      </c>
      <c r="G11" s="19">
        <f>C11</f>
        <v/>
      </c>
      <c r="H11" s="6">
        <f>"FD rate of the year = "&amp;TEXT(C11,"0.00")&amp;"%"</f>
        <v/>
      </c>
      <c r="I11" s="16">
        <f>I10*(1+G11/100)</f>
        <v/>
      </c>
      <c r="J11" s="12">
        <f>$B$3*I11</f>
        <v/>
      </c>
      <c r="K11" s="12">
        <f>$B$3*$E$3/100*I11</f>
        <v/>
      </c>
      <c r="L11" s="16">
        <f>F11</f>
        <v/>
      </c>
    </row>
    <row r="12">
      <c r="A12" s="6" t="n">
        <v>2002</v>
      </c>
      <c r="B12" s="6" t="inlineStr">
        <is>
          <t>SBI year-end (API)</t>
        </is>
      </c>
      <c r="C12" s="26" t="n">
        <v>6.5</v>
      </c>
      <c r="D12" s="25" t="n"/>
      <c r="E12" s="25" t="n"/>
      <c r="F12" s="6" t="n">
        <v>12</v>
      </c>
      <c r="G12" s="19">
        <f>C12</f>
        <v/>
      </c>
      <c r="H12" s="6">
        <f>"FD rate of the year = "&amp;TEXT(C12,"0.00")&amp;"%"</f>
        <v/>
      </c>
      <c r="I12" s="16">
        <f>I11*(1+G12/100)</f>
        <v/>
      </c>
      <c r="J12" s="12">
        <f>$B$3*I12</f>
        <v/>
      </c>
      <c r="K12" s="12">
        <f>$B$3*$E$3/100*I12</f>
        <v/>
      </c>
      <c r="L12" s="16">
        <f>F12</f>
        <v/>
      </c>
    </row>
    <row r="13">
      <c r="A13" s="6" t="n">
        <v>2003</v>
      </c>
      <c r="B13" s="6" t="inlineStr">
        <is>
          <t>SBI year-end (API)</t>
        </is>
      </c>
      <c r="C13" s="26" t="n">
        <v>5.5</v>
      </c>
      <c r="D13" s="25" t="n"/>
      <c r="E13" s="25" t="n"/>
      <c r="F13" s="6" t="n">
        <v>12</v>
      </c>
      <c r="G13" s="19">
        <f>C13</f>
        <v/>
      </c>
      <c r="H13" s="6">
        <f>"FD rate of the year = "&amp;TEXT(C13,"0.00")&amp;"%"</f>
        <v/>
      </c>
      <c r="I13" s="16">
        <f>I12*(1+G13/100)</f>
        <v/>
      </c>
      <c r="J13" s="12">
        <f>$B$3*I13</f>
        <v/>
      </c>
      <c r="K13" s="12">
        <f>$B$3*$E$3/100*I13</f>
        <v/>
      </c>
      <c r="L13" s="16">
        <f>F13</f>
        <v/>
      </c>
    </row>
    <row r="14">
      <c r="A14" s="6" t="n">
        <v>2004</v>
      </c>
      <c r="B14" s="6" t="inlineStr">
        <is>
          <t>SBI year-end (API)</t>
        </is>
      </c>
      <c r="C14" s="26" t="n">
        <v>5.5</v>
      </c>
      <c r="D14" s="25" t="n"/>
      <c r="E14" s="25" t="n"/>
      <c r="F14" s="6" t="n">
        <v>12</v>
      </c>
      <c r="G14" s="19">
        <f>C14</f>
        <v/>
      </c>
      <c r="H14" s="6">
        <f>"FD rate of the year = "&amp;TEXT(C14,"0.00")&amp;"%"</f>
        <v/>
      </c>
      <c r="I14" s="16">
        <f>I13*(1+G14/100)</f>
        <v/>
      </c>
      <c r="J14" s="12">
        <f>$B$3*I14</f>
        <v/>
      </c>
      <c r="K14" s="12">
        <f>$B$3*$E$3/100*I14</f>
        <v/>
      </c>
      <c r="L14" s="16">
        <f>F14</f>
        <v/>
      </c>
    </row>
    <row r="15">
      <c r="A15" s="6" t="n">
        <v>2005</v>
      </c>
      <c r="B15" s="6" t="inlineStr">
        <is>
          <t>SBI year-end (API)</t>
        </is>
      </c>
      <c r="C15" s="26" t="n">
        <v>5.5</v>
      </c>
      <c r="D15" s="25" t="n"/>
      <c r="E15" s="25" t="n"/>
      <c r="F15" s="6" t="n">
        <v>12</v>
      </c>
      <c r="G15" s="19">
        <f>C15</f>
        <v/>
      </c>
      <c r="H15" s="6">
        <f>"FD rate of the year = "&amp;TEXT(C15,"0.00")&amp;"%"</f>
        <v/>
      </c>
      <c r="I15" s="16">
        <f>I14*(1+G15/100)</f>
        <v/>
      </c>
      <c r="J15" s="12">
        <f>$B$3*I15</f>
        <v/>
      </c>
      <c r="K15" s="12">
        <f>$B$3*$E$3/100*I15</f>
        <v/>
      </c>
      <c r="L15" s="16">
        <f>F15</f>
        <v/>
      </c>
    </row>
    <row r="16">
      <c r="A16" s="6" t="n">
        <v>2006</v>
      </c>
      <c r="B16" s="6" t="inlineStr">
        <is>
          <t>SBI year-end (API)</t>
        </is>
      </c>
      <c r="C16" s="26" t="n">
        <v>6.75</v>
      </c>
      <c r="D16" s="25" t="n"/>
      <c r="E16" s="25" t="n"/>
      <c r="F16" s="6" t="n">
        <v>12</v>
      </c>
      <c r="G16" s="19">
        <f>C16</f>
        <v/>
      </c>
      <c r="H16" s="6">
        <f>"FD rate of the year = "&amp;TEXT(C16,"0.00")&amp;"%"</f>
        <v/>
      </c>
      <c r="I16" s="16">
        <f>I15*(1+G16/100)</f>
        <v/>
      </c>
      <c r="J16" s="12">
        <f>$B$3*I16</f>
        <v/>
      </c>
      <c r="K16" s="12">
        <f>$B$3*$E$3/100*I16</f>
        <v/>
      </c>
      <c r="L16" s="16">
        <f>F16</f>
        <v/>
      </c>
    </row>
    <row r="17">
      <c r="A17" s="6" t="n">
        <v>2007</v>
      </c>
      <c r="B17" s="6" t="inlineStr">
        <is>
          <t>SBI year-end (API)</t>
        </is>
      </c>
      <c r="C17" s="26" t="n">
        <v>8.25</v>
      </c>
      <c r="D17" s="25" t="n"/>
      <c r="E17" s="25" t="n"/>
      <c r="F17" s="6" t="n">
        <v>12</v>
      </c>
      <c r="G17" s="19">
        <f>C17</f>
        <v/>
      </c>
      <c r="H17" s="6">
        <f>"FD rate of the year = "&amp;TEXT(C17,"0.00")&amp;"%"</f>
        <v/>
      </c>
      <c r="I17" s="16">
        <f>I16*(1+G17/100)</f>
        <v/>
      </c>
      <c r="J17" s="12">
        <f>$B$3*I17</f>
        <v/>
      </c>
      <c r="K17" s="12">
        <f>$B$3*$E$3/100*I17</f>
        <v/>
      </c>
      <c r="L17" s="16">
        <f>F17</f>
        <v/>
      </c>
    </row>
    <row r="18">
      <c r="A18" s="6" t="n">
        <v>2008</v>
      </c>
      <c r="B18" s="6" t="inlineStr">
        <is>
          <t>SBI year-end (API)</t>
        </is>
      </c>
      <c r="C18" s="26" t="n">
        <v>8.75</v>
      </c>
      <c r="D18" s="25" t="n"/>
      <c r="E18" s="25" t="n"/>
      <c r="F18" s="6" t="n">
        <v>12</v>
      </c>
      <c r="G18" s="19">
        <f>C18</f>
        <v/>
      </c>
      <c r="H18" s="6">
        <f>"FD rate of the year = "&amp;TEXT(C18,"0.00")&amp;"%"</f>
        <v/>
      </c>
      <c r="I18" s="16">
        <f>I17*(1+G18/100)</f>
        <v/>
      </c>
      <c r="J18" s="12">
        <f>$B$3*I18</f>
        <v/>
      </c>
      <c r="K18" s="12">
        <f>$B$3*$E$3/100*I18</f>
        <v/>
      </c>
      <c r="L18" s="16">
        <f>F18</f>
        <v/>
      </c>
    </row>
    <row r="19">
      <c r="A19" s="6" t="n">
        <v>2009</v>
      </c>
      <c r="B19" s="6" t="inlineStr">
        <is>
          <t>SBI year-end (API)</t>
        </is>
      </c>
      <c r="C19" s="26" t="n">
        <v>6.5</v>
      </c>
      <c r="D19" s="25" t="n"/>
      <c r="E19" s="25" t="n"/>
      <c r="F19" s="6" t="n">
        <v>12</v>
      </c>
      <c r="G19" s="19">
        <f>C19</f>
        <v/>
      </c>
      <c r="H19" s="6">
        <f>"FD rate of the year = "&amp;TEXT(C19,"0.00")&amp;"%"</f>
        <v/>
      </c>
      <c r="I19" s="16">
        <f>I18*(1+G19/100)</f>
        <v/>
      </c>
      <c r="J19" s="12">
        <f>$B$3*I19</f>
        <v/>
      </c>
      <c r="K19" s="12">
        <f>$B$3*$E$3/100*I19</f>
        <v/>
      </c>
      <c r="L19" s="16">
        <f>F19</f>
        <v/>
      </c>
    </row>
    <row r="20">
      <c r="A20" s="6" t="n">
        <v>2010</v>
      </c>
      <c r="B20" s="6" t="inlineStr">
        <is>
          <t>SBI year-end (API)</t>
        </is>
      </c>
      <c r="C20" s="26" t="n">
        <v>7.75</v>
      </c>
      <c r="D20" s="25" t="n"/>
      <c r="E20" s="25" t="n"/>
      <c r="F20" s="6" t="n">
        <v>12</v>
      </c>
      <c r="G20" s="19">
        <f>C20</f>
        <v/>
      </c>
      <c r="H20" s="6">
        <f>"FD rate of the year = "&amp;TEXT(C20,"0.00")&amp;"%"</f>
        <v/>
      </c>
      <c r="I20" s="16">
        <f>I19*(1+G20/100)</f>
        <v/>
      </c>
      <c r="J20" s="12">
        <f>$B$3*I20</f>
        <v/>
      </c>
      <c r="K20" s="12">
        <f>$B$3*$E$3/100*I20</f>
        <v/>
      </c>
      <c r="L20" s="16">
        <f>F20</f>
        <v/>
      </c>
    </row>
    <row r="21">
      <c r="A21" s="6" t="n">
        <v>2011</v>
      </c>
      <c r="B21" s="6" t="inlineStr">
        <is>
          <t>SBI year-end (API)</t>
        </is>
      </c>
      <c r="C21" s="26" t="n">
        <v>9.25</v>
      </c>
      <c r="D21" s="25" t="n"/>
      <c r="E21" s="25" t="n"/>
      <c r="F21" s="6" t="n">
        <v>12</v>
      </c>
      <c r="G21" s="19">
        <f>C21</f>
        <v/>
      </c>
      <c r="H21" s="6">
        <f>"FD rate of the year = "&amp;TEXT(C21,"0.00")&amp;"%"</f>
        <v/>
      </c>
      <c r="I21" s="16">
        <f>I20*(1+G21/100)</f>
        <v/>
      </c>
      <c r="J21" s="12">
        <f>$B$3*I21</f>
        <v/>
      </c>
      <c r="K21" s="12">
        <f>$B$3*$E$3/100*I21</f>
        <v/>
      </c>
      <c r="L21" s="16">
        <f>F21</f>
        <v/>
      </c>
    </row>
    <row r="22">
      <c r="A22" s="6" t="n">
        <v>2012</v>
      </c>
      <c r="B22" s="6" t="inlineStr">
        <is>
          <t>SBI 2011 rate applied (no data)</t>
        </is>
      </c>
      <c r="C22" s="19">
        <f>C21</f>
        <v/>
      </c>
      <c r="D22" s="25" t="n"/>
      <c r="E22" s="25" t="n"/>
      <c r="F22" s="6" t="n">
        <v>12</v>
      </c>
      <c r="G22" s="19">
        <f>C22</f>
        <v/>
      </c>
      <c r="H22" s="6">
        <f>"2011 SBI rate applied = "&amp;TEXT(C22,"0.00")&amp;"%"</f>
        <v/>
      </c>
      <c r="I22" s="16">
        <f>I21*(1+G22/100)</f>
        <v/>
      </c>
      <c r="J22" s="12">
        <f>$B$3*I22</f>
        <v/>
      </c>
      <c r="K22" s="12">
        <f>$B$3*$E$3/100*I22</f>
        <v/>
      </c>
      <c r="L22" s="16">
        <f>F22</f>
        <v/>
      </c>
    </row>
    <row r="23">
      <c r="A23" s="6" t="n">
        <v>2013</v>
      </c>
      <c r="B23" s="6" t="inlineStr">
        <is>
          <t>SBI 2011 rate applied (no data)</t>
        </is>
      </c>
      <c r="C23" s="19">
        <f>C21</f>
        <v/>
      </c>
      <c r="D23" s="25" t="n"/>
      <c r="E23" s="25" t="n"/>
      <c r="F23" s="6" t="n">
        <v>12</v>
      </c>
      <c r="G23" s="19">
        <f>C23</f>
        <v/>
      </c>
      <c r="H23" s="6">
        <f>"2011 SBI rate applied = "&amp;TEXT(C23,"0.00")&amp;"%"</f>
        <v/>
      </c>
      <c r="I23" s="16">
        <f>I22*(1+G23/100)</f>
        <v/>
      </c>
      <c r="J23" s="12">
        <f>$B$3*I23</f>
        <v/>
      </c>
      <c r="K23" s="12">
        <f>$B$3*$E$3/100*I23</f>
        <v/>
      </c>
      <c r="L23" s="16">
        <f>F23</f>
        <v/>
      </c>
    </row>
    <row r="24">
      <c r="A24" s="6" t="n">
        <v>2014</v>
      </c>
      <c r="B24" s="6" t="inlineStr">
        <is>
          <t>SBI 2011 rate applied (no data)</t>
        </is>
      </c>
      <c r="C24" s="19">
        <f>C21</f>
        <v/>
      </c>
      <c r="D24" s="25" t="n"/>
      <c r="E24" s="25" t="n"/>
      <c r="F24" s="6" t="n">
        <v>12</v>
      </c>
      <c r="G24" s="19">
        <f>C24</f>
        <v/>
      </c>
      <c r="H24" s="6">
        <f>"2011 SBI rate applied = "&amp;TEXT(C24,"0.00")&amp;"%"</f>
        <v/>
      </c>
      <c r="I24" s="16">
        <f>I23*(1+G24/100)</f>
        <v/>
      </c>
      <c r="J24" s="12">
        <f>$B$3*I24</f>
        <v/>
      </c>
      <c r="K24" s="12">
        <f>$B$3*$E$3/100*I24</f>
        <v/>
      </c>
      <c r="L24" s="16">
        <f>F24</f>
        <v/>
      </c>
    </row>
    <row r="25">
      <c r="A25" s="6" t="n">
        <v>2015</v>
      </c>
      <c r="B25" s="6" t="inlineStr">
        <is>
          <t>G-sec index (API)</t>
        </is>
      </c>
      <c r="C25" s="9" t="n"/>
      <c r="D25" s="27" t="n">
        <v>1493.86</v>
      </c>
      <c r="E25" s="27" t="n">
        <v>1485.03</v>
      </c>
      <c r="F25" s="6" t="n">
        <v>12</v>
      </c>
      <c r="G25" s="19">
        <f>(D25/E25-1)*100</f>
        <v/>
      </c>
      <c r="H25" s="6">
        <f>TEXT(D25,"0.00")&amp;" / "&amp;TEXT(E25,"0.00")&amp;" - 1  (index starts 2015-10-13)"</f>
        <v/>
      </c>
      <c r="I25" s="16">
        <f>I24*(1+G25/100)</f>
        <v/>
      </c>
      <c r="J25" s="12">
        <f>$B$3*I25</f>
        <v/>
      </c>
      <c r="K25" s="12">
        <f>$B$3*$E$3/100*I25</f>
        <v/>
      </c>
      <c r="L25" s="16">
        <f>F25</f>
        <v/>
      </c>
    </row>
    <row r="26">
      <c r="A26" s="6" t="n">
        <v>2016</v>
      </c>
      <c r="B26" s="6" t="inlineStr">
        <is>
          <t>G-sec index (API)</t>
        </is>
      </c>
      <c r="C26" s="9" t="n"/>
      <c r="D26" s="27" t="n">
        <v>1711.41</v>
      </c>
      <c r="E26" s="25">
        <f>D25</f>
        <v/>
      </c>
      <c r="F26" s="6" t="n">
        <v>12</v>
      </c>
      <c r="G26" s="19">
        <f>(D26/E26-1)*100</f>
        <v/>
      </c>
      <c r="H26" s="6">
        <f>TEXT(D26,"0.00")&amp;" / "&amp;TEXT(E26,"0.00")&amp;" - 1"</f>
        <v/>
      </c>
      <c r="I26" s="16">
        <f>I25*(1+G26/100)</f>
        <v/>
      </c>
      <c r="J26" s="12">
        <f>$B$3*I26</f>
        <v/>
      </c>
      <c r="K26" s="12">
        <f>$B$3*$E$3/100*I26</f>
        <v/>
      </c>
      <c r="L26" s="16">
        <f>F26</f>
        <v/>
      </c>
    </row>
    <row r="27">
      <c r="A27" s="6" t="n">
        <v>2017</v>
      </c>
      <c r="B27" s="6" t="inlineStr">
        <is>
          <t>G-sec index (API)</t>
        </is>
      </c>
      <c r="C27" s="9" t="n"/>
      <c r="D27" s="27" t="n">
        <v>1746.29</v>
      </c>
      <c r="E27" s="25">
        <f>D26</f>
        <v/>
      </c>
      <c r="F27" s="6" t="n">
        <v>12</v>
      </c>
      <c r="G27" s="19">
        <f>(D27/E27-1)*100</f>
        <v/>
      </c>
      <c r="H27" s="6">
        <f>TEXT(D27,"0.00")&amp;" / "&amp;TEXT(E27,"0.00")&amp;" - 1"</f>
        <v/>
      </c>
      <c r="I27" s="16">
        <f>I26*(1+G27/100)</f>
        <v/>
      </c>
      <c r="J27" s="12">
        <f>$B$3*I27</f>
        <v/>
      </c>
      <c r="K27" s="12">
        <f>$B$3*$E$3/100*I27</f>
        <v/>
      </c>
      <c r="L27" s="16">
        <f>F27</f>
        <v/>
      </c>
    </row>
    <row r="28">
      <c r="A28" s="6" t="n">
        <v>2018</v>
      </c>
      <c r="B28" s="6" t="inlineStr">
        <is>
          <t>G-sec index (API)</t>
        </is>
      </c>
      <c r="C28" s="9" t="n"/>
      <c r="D28" s="27" t="n">
        <v>1862.25</v>
      </c>
      <c r="E28" s="25">
        <f>D27</f>
        <v/>
      </c>
      <c r="F28" s="6" t="n">
        <v>12</v>
      </c>
      <c r="G28" s="19">
        <f>(D28/E28-1)*100</f>
        <v/>
      </c>
      <c r="H28" s="6">
        <f>TEXT(D28,"0.00")&amp;" / "&amp;TEXT(E28,"0.00")&amp;" - 1"</f>
        <v/>
      </c>
      <c r="I28" s="16">
        <f>I27*(1+G28/100)</f>
        <v/>
      </c>
      <c r="J28" s="12">
        <f>$B$3*I28</f>
        <v/>
      </c>
      <c r="K28" s="12">
        <f>$B$3*$E$3/100*I28</f>
        <v/>
      </c>
      <c r="L28" s="16">
        <f>F28</f>
        <v/>
      </c>
    </row>
    <row r="29">
      <c r="A29" s="6" t="n">
        <v>2019</v>
      </c>
      <c r="B29" s="6" t="inlineStr">
        <is>
          <t>G-sec index (API)</t>
        </is>
      </c>
      <c r="C29" s="9" t="n"/>
      <c r="D29" s="27" t="n">
        <v>2057.41</v>
      </c>
      <c r="E29" s="25">
        <f>D28</f>
        <v/>
      </c>
      <c r="F29" s="6" t="n">
        <v>12</v>
      </c>
      <c r="G29" s="19">
        <f>(D29/E29-1)*100</f>
        <v/>
      </c>
      <c r="H29" s="6">
        <f>TEXT(D29,"0.00")&amp;" / "&amp;TEXT(E29,"0.00")&amp;" - 1"</f>
        <v/>
      </c>
      <c r="I29" s="16">
        <f>I28*(1+G29/100)</f>
        <v/>
      </c>
      <c r="J29" s="12">
        <f>$B$3*I29</f>
        <v/>
      </c>
      <c r="K29" s="12">
        <f>$B$3*$E$3/100*I29</f>
        <v/>
      </c>
      <c r="L29" s="16">
        <f>F29</f>
        <v/>
      </c>
    </row>
    <row r="30">
      <c r="A30" s="6" t="n">
        <v>2020</v>
      </c>
      <c r="B30" s="6" t="inlineStr">
        <is>
          <t>G-sec index (API)</t>
        </is>
      </c>
      <c r="C30" s="9" t="n"/>
      <c r="D30" s="27" t="n">
        <v>2302.29</v>
      </c>
      <c r="E30" s="25">
        <f>D29</f>
        <v/>
      </c>
      <c r="F30" s="6" t="n">
        <v>12</v>
      </c>
      <c r="G30" s="19">
        <f>(D30/E30-1)*100</f>
        <v/>
      </c>
      <c r="H30" s="6">
        <f>TEXT(D30,"0.00")&amp;" / "&amp;TEXT(E30,"0.00")&amp;" - 1"</f>
        <v/>
      </c>
      <c r="I30" s="16">
        <f>I29*(1+G30/100)</f>
        <v/>
      </c>
      <c r="J30" s="12">
        <f>$B$3*I30</f>
        <v/>
      </c>
      <c r="K30" s="12">
        <f>$B$3*$E$3/100*I30</f>
        <v/>
      </c>
      <c r="L30" s="16">
        <f>F30</f>
        <v/>
      </c>
    </row>
    <row r="31">
      <c r="A31" s="6" t="n">
        <v>2021</v>
      </c>
      <c r="B31" s="6" t="inlineStr">
        <is>
          <t>G-sec index (API)</t>
        </is>
      </c>
      <c r="C31" s="9" t="n"/>
      <c r="D31" s="27" t="n">
        <v>2364.16</v>
      </c>
      <c r="E31" s="25">
        <f>D30</f>
        <v/>
      </c>
      <c r="F31" s="6" t="n">
        <v>12</v>
      </c>
      <c r="G31" s="19">
        <f>(D31/E31-1)*100</f>
        <v/>
      </c>
      <c r="H31" s="6">
        <f>TEXT(D31,"0.00")&amp;" / "&amp;TEXT(E31,"0.00")&amp;" - 1"</f>
        <v/>
      </c>
      <c r="I31" s="16">
        <f>I30*(1+G31/100)</f>
        <v/>
      </c>
      <c r="J31" s="12">
        <f>$B$3*I31</f>
        <v/>
      </c>
      <c r="K31" s="12">
        <f>$B$3*$E$3/100*I31</f>
        <v/>
      </c>
      <c r="L31" s="16">
        <f>F31</f>
        <v/>
      </c>
    </row>
    <row r="32">
      <c r="A32" s="6" t="n">
        <v>2022</v>
      </c>
      <c r="B32" s="6" t="inlineStr">
        <is>
          <t>G-sec index (API)</t>
        </is>
      </c>
      <c r="C32" s="9" t="n"/>
      <c r="D32" s="27" t="n">
        <v>2409.54</v>
      </c>
      <c r="E32" s="25">
        <f>D31</f>
        <v/>
      </c>
      <c r="F32" s="6" t="n">
        <v>12</v>
      </c>
      <c r="G32" s="19">
        <f>(D32/E32-1)*100</f>
        <v/>
      </c>
      <c r="H32" s="6">
        <f>TEXT(D32,"0.00")&amp;" / "&amp;TEXT(E32,"0.00")&amp;" - 1"</f>
        <v/>
      </c>
      <c r="I32" s="16">
        <f>I31*(1+G32/100)</f>
        <v/>
      </c>
      <c r="J32" s="12">
        <f>$B$3*I32</f>
        <v/>
      </c>
      <c r="K32" s="12">
        <f>$B$3*$E$3/100*I32</f>
        <v/>
      </c>
      <c r="L32" s="16">
        <f>F32</f>
        <v/>
      </c>
    </row>
    <row r="33">
      <c r="A33" s="6" t="n">
        <v>2023</v>
      </c>
      <c r="B33" s="6" t="inlineStr">
        <is>
          <t>G-sec index (API)</t>
        </is>
      </c>
      <c r="C33" s="9" t="n"/>
      <c r="D33" s="27" t="n">
        <v>2602.3</v>
      </c>
      <c r="E33" s="25">
        <f>D32</f>
        <v/>
      </c>
      <c r="F33" s="6" t="n">
        <v>12</v>
      </c>
      <c r="G33" s="19">
        <f>(D33/E33-1)*100</f>
        <v/>
      </c>
      <c r="H33" s="6">
        <f>TEXT(D33,"0.00")&amp;" / "&amp;TEXT(E33,"0.00")&amp;" - 1"</f>
        <v/>
      </c>
      <c r="I33" s="16">
        <f>I32*(1+G33/100)</f>
        <v/>
      </c>
      <c r="J33" s="12">
        <f>$B$3*I33</f>
        <v/>
      </c>
      <c r="K33" s="12">
        <f>$B$3*$E$3/100*I33</f>
        <v/>
      </c>
      <c r="L33" s="16">
        <f>F33</f>
        <v/>
      </c>
    </row>
    <row r="34">
      <c r="A34" s="6" t="n">
        <v>2024</v>
      </c>
      <c r="B34" s="6" t="inlineStr">
        <is>
          <t>G-sec index (API)</t>
        </is>
      </c>
      <c r="C34" s="9" t="n"/>
      <c r="D34" s="27" t="n">
        <v>2861.37</v>
      </c>
      <c r="E34" s="25">
        <f>D33</f>
        <v/>
      </c>
      <c r="F34" s="6" t="n">
        <v>12</v>
      </c>
      <c r="G34" s="19">
        <f>(D34/E34-1)*100</f>
        <v/>
      </c>
      <c r="H34" s="6">
        <f>TEXT(D34,"0.00")&amp;" / "&amp;TEXT(E34,"0.00")&amp;" - 1"</f>
        <v/>
      </c>
      <c r="I34" s="16">
        <f>I33*(1+G34/100)</f>
        <v/>
      </c>
      <c r="J34" s="12">
        <f>$B$3*I34</f>
        <v/>
      </c>
      <c r="K34" s="12">
        <f>$B$3*$E$3/100*I34</f>
        <v/>
      </c>
      <c r="L34" s="16">
        <f>F34</f>
        <v/>
      </c>
    </row>
    <row r="35">
      <c r="A35" s="6" t="n">
        <v>2025</v>
      </c>
      <c r="B35" s="6" t="inlineStr">
        <is>
          <t>G-sec index (API)</t>
        </is>
      </c>
      <c r="C35" s="9" t="n"/>
      <c r="D35" s="27" t="n">
        <v>3052.91</v>
      </c>
      <c r="E35" s="25">
        <f>D34</f>
        <v/>
      </c>
      <c r="F35" s="6" t="n">
        <v>12</v>
      </c>
      <c r="G35" s="19">
        <f>(D35/E35-1)*100</f>
        <v/>
      </c>
      <c r="H35" s="6">
        <f>TEXT(D35,"0.00")&amp;" / "&amp;TEXT(E35,"0.00")&amp;" - 1"</f>
        <v/>
      </c>
      <c r="I35" s="16">
        <f>I34*(1+G35/100)</f>
        <v/>
      </c>
      <c r="J35" s="12">
        <f>$B$3*I35</f>
        <v/>
      </c>
      <c r="K35" s="12">
        <f>$B$3*$E$3/100*I35</f>
        <v/>
      </c>
      <c r="L35" s="16">
        <f>F35</f>
        <v/>
      </c>
    </row>
    <row r="36">
      <c r="A36" s="6" t="n">
        <v>2026</v>
      </c>
      <c r="B36" s="6" t="inlineStr">
        <is>
          <t>G-sec index (API)</t>
        </is>
      </c>
      <c r="C36" s="9" t="n"/>
      <c r="D36" s="27" t="n">
        <v>3101.54</v>
      </c>
      <c r="E36" s="25">
        <f>D35</f>
        <v/>
      </c>
      <c r="F36" s="6" t="n">
        <v>9</v>
      </c>
      <c r="G36" s="19">
        <f>(D36/E36-1)*100</f>
        <v/>
      </c>
      <c r="H36" s="6">
        <f>TEXT(D36,"0.00")&amp;" / "&amp;TEXT(E36,"0.00")&amp;" - 1  (to the last complete month)"</f>
        <v/>
      </c>
      <c r="I36" s="16">
        <f>I35*(1+G36/100)</f>
        <v/>
      </c>
      <c r="J36" s="12">
        <f>$B$3*I36</f>
        <v/>
      </c>
      <c r="K36" s="12">
        <f>$B$3*$E$3/100*I36</f>
        <v/>
      </c>
      <c r="L36" s="16">
        <f>F36</f>
        <v/>
      </c>
    </row>
    <row r="38">
      <c r="A38" s="28" t="inlineStr">
        <is>
          <t>Not a real bond purchase: no coupon, price, maturity, tax or fees. Until 2011 it is FD interest growth; from 2015 it follows the G-sec index price moves.</t>
        </is>
      </c>
    </row>
  </sheetData>
  <mergeCells count="1">
    <mergeCell ref="A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  <col width="22" customWidth="1" min="4" max="4"/>
    <col width="22" customWidth="1" min="5" max="5"/>
    <col width="16" customWidth="1" min="6" max="6"/>
  </cols>
  <sheetData>
    <row r="1">
      <c r="A1" s="4" t="inlineStr">
        <is>
          <t>Gold before 2005-06: GOLDINR month-end closes matched to MCX (Rs per gram, before GST)</t>
        </is>
      </c>
    </row>
    <row r="3">
      <c r="A3" t="inlineStr">
        <is>
          <t>GOLDINR close on 2005-06-30, Rs/10g</t>
        </is>
      </c>
      <c r="B3" s="27" t="n">
        <v>6068.3499</v>
      </c>
    </row>
    <row r="4">
      <c r="A4" t="inlineStr">
        <is>
          <t>MCX close on 2005-06-30, Rs/10g</t>
        </is>
      </c>
      <c r="B4" s="27" t="n">
        <v>6240</v>
      </c>
    </row>
    <row r="5">
      <c r="A5" t="inlineStr">
        <is>
          <t>Matching factor = MCX / GOLDINR</t>
        </is>
      </c>
      <c r="B5" s="29">
        <f>B4/B3</f>
        <v/>
      </c>
    </row>
    <row r="6">
      <c r="A6" t="inlineStr">
        <is>
          <t>Before 2005-06 every month uses the GOLDINR month-end close x the matching factor (Dec 1995 is the buy); from 2005-06 the MCX month-end close.</t>
        </is>
      </c>
    </row>
    <row r="8">
      <c r="A8" s="15" t="inlineStr">
        <is>
          <t>Period</t>
        </is>
      </c>
      <c r="B8" s="15" t="inlineStr">
        <is>
          <t>Date used</t>
        </is>
      </c>
      <c r="C8" s="15" t="inlineStr">
        <is>
          <t>Basis</t>
        </is>
      </c>
      <c r="D8" s="15" t="inlineStr">
        <is>
          <t>GOLDINR close Rs/10g</t>
        </is>
      </c>
      <c r="E8" s="15" t="inlineStr">
        <is>
          <t>Rs per gram (matched)</t>
        </is>
      </c>
      <c r="F8" s="15" t="inlineStr">
        <is>
          <t>Monthly return %</t>
        </is>
      </c>
    </row>
    <row r="9">
      <c r="A9" s="6" t="inlineStr">
        <is>
          <t>1995-12</t>
        </is>
      </c>
      <c r="B9" s="30" t="inlineStr">
        <is>
          <t>1995-12-28</t>
        </is>
      </c>
      <c r="C9" s="6" t="inlineStr">
        <is>
          <t>Month-end close (GOLDINR) - the buy</t>
        </is>
      </c>
      <c r="D9" s="27" t="n">
        <v>4366.0167</v>
      </c>
      <c r="E9" s="22">
        <f>D9/10*$B$5</f>
        <v/>
      </c>
      <c r="F9" s="19" t="n"/>
    </row>
    <row r="10">
      <c r="A10" s="6" t="inlineStr">
        <is>
          <t>1996-01</t>
        </is>
      </c>
      <c r="B10" s="30" t="inlineStr">
        <is>
          <t>1996-01-31</t>
        </is>
      </c>
      <c r="C10" s="6" t="inlineStr">
        <is>
          <t>Month-end close (GOLDINR)</t>
        </is>
      </c>
      <c r="D10" s="27" t="n">
        <v>4759.1384</v>
      </c>
      <c r="E10" s="22">
        <f>D10/10*$B$5</f>
        <v/>
      </c>
      <c r="F10" s="19">
        <f>(E10/E9-1)*100</f>
        <v/>
      </c>
    </row>
    <row r="11">
      <c r="A11" s="6" t="inlineStr">
        <is>
          <t>1996-02</t>
        </is>
      </c>
      <c r="B11" s="30" t="inlineStr">
        <is>
          <t>1996-02-29</t>
        </is>
      </c>
      <c r="C11" s="6" t="inlineStr">
        <is>
          <t>Month-end close (GOLDINR)</t>
        </is>
      </c>
      <c r="D11" s="27" t="n">
        <v>4487.8089</v>
      </c>
      <c r="E11" s="22">
        <f>D11/10*$B$5</f>
        <v/>
      </c>
      <c r="F11" s="19">
        <f>(E11/E10-1)*100</f>
        <v/>
      </c>
    </row>
    <row r="12">
      <c r="A12" s="6" t="inlineStr">
        <is>
          <t>1996-03</t>
        </is>
      </c>
      <c r="B12" s="30" t="inlineStr">
        <is>
          <t>1996-03-29</t>
        </is>
      </c>
      <c r="C12" s="6" t="inlineStr">
        <is>
          <t>Month-end close (GOLDINR)</t>
        </is>
      </c>
      <c r="D12" s="27" t="n">
        <v>4378.4771</v>
      </c>
      <c r="E12" s="22">
        <f>D12/10*$B$5</f>
        <v/>
      </c>
      <c r="F12" s="19">
        <f>(E12/E11-1)*100</f>
        <v/>
      </c>
    </row>
    <row r="13">
      <c r="A13" s="6" t="inlineStr">
        <is>
          <t>1996-04</t>
        </is>
      </c>
      <c r="B13" s="30" t="inlineStr">
        <is>
          <t>1996-04-30</t>
        </is>
      </c>
      <c r="C13" s="6" t="inlineStr">
        <is>
          <t>Month-end close (GOLDINR)</t>
        </is>
      </c>
      <c r="D13" s="27" t="n">
        <v>4399.4313</v>
      </c>
      <c r="E13" s="22">
        <f>D13/10*$B$5</f>
        <v/>
      </c>
      <c r="F13" s="19">
        <f>(E13/E12-1)*100</f>
        <v/>
      </c>
    </row>
    <row r="14">
      <c r="A14" s="6" t="inlineStr">
        <is>
          <t>1996-05</t>
        </is>
      </c>
      <c r="B14" s="30" t="inlineStr">
        <is>
          <t>1996-05-31</t>
        </is>
      </c>
      <c r="C14" s="6" t="inlineStr">
        <is>
          <t>Month-end close (GOLDINR)</t>
        </is>
      </c>
      <c r="D14" s="27" t="n">
        <v>4421.1345</v>
      </c>
      <c r="E14" s="22">
        <f>D14/10*$B$5</f>
        <v/>
      </c>
      <c r="F14" s="19">
        <f>(E14/E13-1)*100</f>
        <v/>
      </c>
    </row>
    <row r="15">
      <c r="A15" s="6" t="inlineStr">
        <is>
          <t>1996-06</t>
        </is>
      </c>
      <c r="B15" s="30" t="inlineStr">
        <is>
          <t>1996-06-28</t>
        </is>
      </c>
      <c r="C15" s="6" t="inlineStr">
        <is>
          <t>Month-end close (GOLDINR)</t>
        </is>
      </c>
      <c r="D15" s="27" t="n">
        <v>4355.0501</v>
      </c>
      <c r="E15" s="22">
        <f>D15/10*$B$5</f>
        <v/>
      </c>
      <c r="F15" s="19">
        <f>(E15/E14-1)*100</f>
        <v/>
      </c>
    </row>
    <row r="16">
      <c r="A16" s="6" t="inlineStr">
        <is>
          <t>1996-07</t>
        </is>
      </c>
      <c r="B16" s="30" t="inlineStr">
        <is>
          <t>1996-07-31</t>
        </is>
      </c>
      <c r="C16" s="6" t="inlineStr">
        <is>
          <t>Month-end close (GOLDINR)</t>
        </is>
      </c>
      <c r="D16" s="27" t="n">
        <v>4422.8378</v>
      </c>
      <c r="E16" s="22">
        <f>D16/10*$B$5</f>
        <v/>
      </c>
      <c r="F16" s="19">
        <f>(E16/E15-1)*100</f>
        <v/>
      </c>
    </row>
    <row r="17">
      <c r="A17" s="6" t="inlineStr">
        <is>
          <t>1996-08</t>
        </is>
      </c>
      <c r="B17" s="30" t="inlineStr">
        <is>
          <t>1996-08-30</t>
        </is>
      </c>
      <c r="C17" s="6" t="inlineStr">
        <is>
          <t>Month-end close (GOLDINR)</t>
        </is>
      </c>
      <c r="D17" s="27" t="n">
        <v>4452.9967</v>
      </c>
      <c r="E17" s="22">
        <f>D17/10*$B$5</f>
        <v/>
      </c>
      <c r="F17" s="19">
        <f>(E17/E16-1)*100</f>
        <v/>
      </c>
    </row>
    <row r="18">
      <c r="A18" s="6" t="inlineStr">
        <is>
          <t>1996-09</t>
        </is>
      </c>
      <c r="B18" s="30" t="inlineStr">
        <is>
          <t>1996-09-30</t>
        </is>
      </c>
      <c r="C18" s="6" t="inlineStr">
        <is>
          <t>Month-end close (GOLDINR)</t>
        </is>
      </c>
      <c r="D18" s="27" t="n">
        <v>4367.1516</v>
      </c>
      <c r="E18" s="22">
        <f>D18/10*$B$5</f>
        <v/>
      </c>
      <c r="F18" s="19">
        <f>(E18/E17-1)*100</f>
        <v/>
      </c>
    </row>
    <row r="19">
      <c r="A19" s="6" t="inlineStr">
        <is>
          <t>1996-10</t>
        </is>
      </c>
      <c r="B19" s="30" t="inlineStr">
        <is>
          <t>1996-10-31</t>
        </is>
      </c>
      <c r="C19" s="6" t="inlineStr">
        <is>
          <t>Month-end close (GOLDINR)</t>
        </is>
      </c>
      <c r="D19" s="27" t="n">
        <v>4372.9131</v>
      </c>
      <c r="E19" s="22">
        <f>D19/10*$B$5</f>
        <v/>
      </c>
      <c r="F19" s="19">
        <f>(E19/E18-1)*100</f>
        <v/>
      </c>
    </row>
    <row r="20">
      <c r="A20" s="6" t="inlineStr">
        <is>
          <t>1996-11</t>
        </is>
      </c>
      <c r="B20" s="30" t="inlineStr">
        <is>
          <t>1996-11-29</t>
        </is>
      </c>
      <c r="C20" s="6" t="inlineStr">
        <is>
          <t>Month-end close (GOLDINR)</t>
        </is>
      </c>
      <c r="D20" s="27" t="n">
        <v>4262.907</v>
      </c>
      <c r="E20" s="22">
        <f>D20/10*$B$5</f>
        <v/>
      </c>
      <c r="F20" s="19">
        <f>(E20/E19-1)*100</f>
        <v/>
      </c>
    </row>
    <row r="21">
      <c r="A21" s="6" t="inlineStr">
        <is>
          <t>1996-12</t>
        </is>
      </c>
      <c r="B21" s="30" t="inlineStr">
        <is>
          <t>1996-12-30</t>
        </is>
      </c>
      <c r="C21" s="6" t="inlineStr">
        <is>
          <t>Month-end close (GOLDINR)</t>
        </is>
      </c>
      <c r="D21" s="27" t="n">
        <v>4270.2372</v>
      </c>
      <c r="E21" s="22">
        <f>D21/10*$B$5</f>
        <v/>
      </c>
      <c r="F21" s="19">
        <f>(E21/E20-1)*100</f>
        <v/>
      </c>
    </row>
    <row r="22">
      <c r="A22" s="6" t="inlineStr">
        <is>
          <t>1997-01</t>
        </is>
      </c>
      <c r="B22" s="30" t="inlineStr">
        <is>
          <t>1997-01-31</t>
        </is>
      </c>
      <c r="C22" s="6" t="inlineStr">
        <is>
          <t>Month-end close (GOLDINR)</t>
        </is>
      </c>
      <c r="D22" s="27" t="n">
        <v>3981.1369</v>
      </c>
      <c r="E22" s="22">
        <f>D22/10*$B$5</f>
        <v/>
      </c>
      <c r="F22" s="19">
        <f>(E22/E21-1)*100</f>
        <v/>
      </c>
    </row>
    <row r="23">
      <c r="A23" s="6" t="inlineStr">
        <is>
          <t>1997-02</t>
        </is>
      </c>
      <c r="B23" s="30" t="inlineStr">
        <is>
          <t>1997-02-28</t>
        </is>
      </c>
      <c r="C23" s="6" t="inlineStr">
        <is>
          <t>Month-end close (GOLDINR)</t>
        </is>
      </c>
      <c r="D23" s="27" t="n">
        <v>4128.6272</v>
      </c>
      <c r="E23" s="22">
        <f>D23/10*$B$5</f>
        <v/>
      </c>
      <c r="F23" s="19">
        <f>(E23/E22-1)*100</f>
        <v/>
      </c>
    </row>
    <row r="24">
      <c r="A24" s="6" t="inlineStr">
        <is>
          <t>1997-03</t>
        </is>
      </c>
      <c r="B24" s="30" t="inlineStr">
        <is>
          <t>1997-03-27</t>
        </is>
      </c>
      <c r="C24" s="6" t="inlineStr">
        <is>
          <t>Month-end close (GOLDINR)</t>
        </is>
      </c>
      <c r="D24" s="27" t="n">
        <v>4005.5004</v>
      </c>
      <c r="E24" s="22">
        <f>D24/10*$B$5</f>
        <v/>
      </c>
      <c r="F24" s="19">
        <f>(E24/E23-1)*100</f>
        <v/>
      </c>
    </row>
    <row r="25">
      <c r="A25" s="6" t="inlineStr">
        <is>
          <t>1997-04</t>
        </is>
      </c>
      <c r="B25" s="30" t="inlineStr">
        <is>
          <t>1997-04-30</t>
        </is>
      </c>
      <c r="C25" s="6" t="inlineStr">
        <is>
          <t>Month-end close (GOLDINR)</t>
        </is>
      </c>
      <c r="D25" s="27" t="n">
        <v>3905.2729</v>
      </c>
      <c r="E25" s="22">
        <f>D25/10*$B$5</f>
        <v/>
      </c>
      <c r="F25" s="19">
        <f>(E25/E24-1)*100</f>
        <v/>
      </c>
    </row>
    <row r="26">
      <c r="A26" s="6" t="inlineStr">
        <is>
          <t>1997-05</t>
        </is>
      </c>
      <c r="B26" s="30" t="inlineStr">
        <is>
          <t>1997-05-30</t>
        </is>
      </c>
      <c r="C26" s="6" t="inlineStr">
        <is>
          <t>Month-end close (GOLDINR)</t>
        </is>
      </c>
      <c r="D26" s="27" t="n">
        <v>3968.9557</v>
      </c>
      <c r="E26" s="22">
        <f>D26/10*$B$5</f>
        <v/>
      </c>
      <c r="F26" s="19">
        <f>(E26/E25-1)*100</f>
        <v/>
      </c>
    </row>
    <row r="27">
      <c r="A27" s="6" t="inlineStr">
        <is>
          <t>1997-06</t>
        </is>
      </c>
      <c r="B27" s="30" t="inlineStr">
        <is>
          <t>1997-06-30</t>
        </is>
      </c>
      <c r="C27" s="6" t="inlineStr">
        <is>
          <t>Month-end close (GOLDINR)</t>
        </is>
      </c>
      <c r="D27" s="27" t="n">
        <v>3845.2815</v>
      </c>
      <c r="E27" s="22">
        <f>D27/10*$B$5</f>
        <v/>
      </c>
      <c r="F27" s="19">
        <f>(E27/E26-1)*100</f>
        <v/>
      </c>
    </row>
    <row r="28">
      <c r="A28" s="6" t="inlineStr">
        <is>
          <t>1997-07</t>
        </is>
      </c>
      <c r="B28" s="30" t="inlineStr">
        <is>
          <t>1997-07-31</t>
        </is>
      </c>
      <c r="C28" s="6" t="inlineStr">
        <is>
          <t>Month-end close (GOLDINR)</t>
        </is>
      </c>
      <c r="D28" s="27" t="n">
        <v>3740.5392</v>
      </c>
      <c r="E28" s="22">
        <f>D28/10*$B$5</f>
        <v/>
      </c>
      <c r="F28" s="19">
        <f>(E28/E27-1)*100</f>
        <v/>
      </c>
    </row>
    <row r="29">
      <c r="A29" s="6" t="inlineStr">
        <is>
          <t>1997-08</t>
        </is>
      </c>
      <c r="B29" s="30" t="inlineStr">
        <is>
          <t>1997-08-29</t>
        </is>
      </c>
      <c r="C29" s="6" t="inlineStr">
        <is>
          <t>Month-end close (GOLDINR)</t>
        </is>
      </c>
      <c r="D29" s="27" t="n">
        <v>3800.2072</v>
      </c>
      <c r="E29" s="22">
        <f>D29/10*$B$5</f>
        <v/>
      </c>
      <c r="F29" s="19">
        <f>(E29/E28-1)*100</f>
        <v/>
      </c>
    </row>
    <row r="30">
      <c r="A30" s="6" t="inlineStr">
        <is>
          <t>1997-09</t>
        </is>
      </c>
      <c r="B30" s="30" t="inlineStr">
        <is>
          <t>1997-09-30</t>
        </is>
      </c>
      <c r="C30" s="6" t="inlineStr">
        <is>
          <t>Month-end close (GOLDINR)</t>
        </is>
      </c>
      <c r="D30" s="27" t="n">
        <v>3854.4919</v>
      </c>
      <c r="E30" s="22">
        <f>D30/10*$B$5</f>
        <v/>
      </c>
      <c r="F30" s="19">
        <f>(E30/E29-1)*100</f>
        <v/>
      </c>
    </row>
    <row r="31">
      <c r="A31" s="6" t="inlineStr">
        <is>
          <t>1997-10</t>
        </is>
      </c>
      <c r="B31" s="30" t="inlineStr">
        <is>
          <t>1997-10-31</t>
        </is>
      </c>
      <c r="C31" s="6" t="inlineStr">
        <is>
          <t>Month-end close (GOLDINR)</t>
        </is>
      </c>
      <c r="D31" s="27" t="n">
        <v>3634.2625</v>
      </c>
      <c r="E31" s="22">
        <f>D31/10*$B$5</f>
        <v/>
      </c>
      <c r="F31" s="19">
        <f>(E31/E30-1)*100</f>
        <v/>
      </c>
    </row>
    <row r="32">
      <c r="A32" s="6" t="inlineStr">
        <is>
          <t>1997-11</t>
        </is>
      </c>
      <c r="B32" s="30" t="inlineStr">
        <is>
          <t>1997-11-28</t>
        </is>
      </c>
      <c r="C32" s="6" t="inlineStr">
        <is>
          <t>Month-end close (GOLDINR)</t>
        </is>
      </c>
      <c r="D32" s="27" t="n">
        <v>3673.8015</v>
      </c>
      <c r="E32" s="22">
        <f>D32/10*$B$5</f>
        <v/>
      </c>
      <c r="F32" s="19">
        <f>(E32/E31-1)*100</f>
        <v/>
      </c>
    </row>
    <row r="33">
      <c r="A33" s="6" t="inlineStr">
        <is>
          <t>1997-12</t>
        </is>
      </c>
      <c r="B33" s="30" t="inlineStr">
        <is>
          <t>1997-12-31</t>
        </is>
      </c>
      <c r="C33" s="6" t="inlineStr">
        <is>
          <t>Month-end close (GOLDINR)</t>
        </is>
      </c>
      <c r="D33" s="27" t="n">
        <v>3643.059</v>
      </c>
      <c r="E33" s="22">
        <f>D33/10*$B$5</f>
        <v/>
      </c>
      <c r="F33" s="19">
        <f>(E33/E32-1)*100</f>
        <v/>
      </c>
    </row>
    <row r="34">
      <c r="A34" s="6" t="inlineStr">
        <is>
          <t>1998-01</t>
        </is>
      </c>
      <c r="B34" s="30" t="inlineStr">
        <is>
          <t>1998-01-30</t>
        </is>
      </c>
      <c r="C34" s="6" t="inlineStr">
        <is>
          <t>Month-end close (GOLDINR)</t>
        </is>
      </c>
      <c r="D34" s="27" t="n">
        <v>3773.4447</v>
      </c>
      <c r="E34" s="22">
        <f>D34/10*$B$5</f>
        <v/>
      </c>
      <c r="F34" s="19">
        <f>(E34/E33-1)*100</f>
        <v/>
      </c>
    </row>
    <row r="35">
      <c r="A35" s="6" t="inlineStr">
        <is>
          <t>1998-02</t>
        </is>
      </c>
      <c r="B35" s="30" t="inlineStr">
        <is>
          <t>1998-02-27</t>
        </is>
      </c>
      <c r="C35" s="6" t="inlineStr">
        <is>
          <t>Month-end close (GOLDINR)</t>
        </is>
      </c>
      <c r="D35" s="27" t="n">
        <v>3757.7214</v>
      </c>
      <c r="E35" s="22">
        <f>D35/10*$B$5</f>
        <v/>
      </c>
      <c r="F35" s="19">
        <f>(E35/E34-1)*100</f>
        <v/>
      </c>
    </row>
    <row r="36">
      <c r="A36" s="6" t="inlineStr">
        <is>
          <t>1998-03</t>
        </is>
      </c>
      <c r="B36" s="30" t="inlineStr">
        <is>
          <t>1998-03-31</t>
        </is>
      </c>
      <c r="C36" s="6" t="inlineStr">
        <is>
          <t>Month-end close (GOLDINR)</t>
        </is>
      </c>
      <c r="D36" s="27" t="n">
        <v>3820.6275</v>
      </c>
      <c r="E36" s="22">
        <f>D36/10*$B$5</f>
        <v/>
      </c>
      <c r="F36" s="19">
        <f>(E36/E35-1)*100</f>
        <v/>
      </c>
    </row>
    <row r="37">
      <c r="A37" s="6" t="inlineStr">
        <is>
          <t>1998-04</t>
        </is>
      </c>
      <c r="B37" s="30" t="inlineStr">
        <is>
          <t>1998-04-30</t>
        </is>
      </c>
      <c r="C37" s="6" t="inlineStr">
        <is>
          <t>Month-end close (GOLDINR)</t>
        </is>
      </c>
      <c r="D37" s="27" t="n">
        <v>3964.7281</v>
      </c>
      <c r="E37" s="22">
        <f>D37/10*$B$5</f>
        <v/>
      </c>
      <c r="F37" s="19">
        <f>(E37/E36-1)*100</f>
        <v/>
      </c>
    </row>
    <row r="38">
      <c r="A38" s="6" t="inlineStr">
        <is>
          <t>1998-05</t>
        </is>
      </c>
      <c r="B38" s="30" t="inlineStr">
        <is>
          <t>1998-05-29</t>
        </is>
      </c>
      <c r="C38" s="6" t="inlineStr">
        <is>
          <t>Month-end close (GOLDINR)</t>
        </is>
      </c>
      <c r="D38" s="27" t="n">
        <v>3901.3645</v>
      </c>
      <c r="E38" s="22">
        <f>D38/10*$B$5</f>
        <v/>
      </c>
      <c r="F38" s="19">
        <f>(E38/E37-1)*100</f>
        <v/>
      </c>
    </row>
    <row r="39">
      <c r="A39" s="6" t="inlineStr">
        <is>
          <t>1998-06</t>
        </is>
      </c>
      <c r="B39" s="30" t="inlineStr">
        <is>
          <t>1998-06-30</t>
        </is>
      </c>
      <c r="C39" s="6" t="inlineStr">
        <is>
          <t>Month-end close (GOLDINR)</t>
        </is>
      </c>
      <c r="D39" s="27" t="n">
        <v>4029.6106</v>
      </c>
      <c r="E39" s="22">
        <f>D39/10*$B$5</f>
        <v/>
      </c>
      <c r="F39" s="19">
        <f>(E39/E38-1)*100</f>
        <v/>
      </c>
    </row>
    <row r="40">
      <c r="A40" s="6" t="inlineStr">
        <is>
          <t>1998-07</t>
        </is>
      </c>
      <c r="B40" s="30" t="inlineStr">
        <is>
          <t>1998-07-31</t>
        </is>
      </c>
      <c r="C40" s="6" t="inlineStr">
        <is>
          <t>Month-end close (GOLDINR)</t>
        </is>
      </c>
      <c r="D40" s="27" t="n">
        <v>3946.8658</v>
      </c>
      <c r="E40" s="22">
        <f>D40/10*$B$5</f>
        <v/>
      </c>
      <c r="F40" s="19">
        <f>(E40/E39-1)*100</f>
        <v/>
      </c>
    </row>
    <row r="41">
      <c r="A41" s="6" t="inlineStr">
        <is>
          <t>1998-08</t>
        </is>
      </c>
      <c r="B41" s="30" t="inlineStr">
        <is>
          <t>1998-08-28</t>
        </is>
      </c>
      <c r="C41" s="6" t="inlineStr">
        <is>
          <t>Month-end close (GOLDINR)</t>
        </is>
      </c>
      <c r="D41" s="27" t="n">
        <v>3735.756</v>
      </c>
      <c r="E41" s="22">
        <f>D41/10*$B$5</f>
        <v/>
      </c>
      <c r="F41" s="19">
        <f>(E41/E40-1)*100</f>
        <v/>
      </c>
    </row>
    <row r="42">
      <c r="A42" s="6" t="inlineStr">
        <is>
          <t>1998-09</t>
        </is>
      </c>
      <c r="B42" s="30" t="inlineStr">
        <is>
          <t>1998-09-30</t>
        </is>
      </c>
      <c r="C42" s="6" t="inlineStr">
        <is>
          <t>Month-end close (GOLDINR)</t>
        </is>
      </c>
      <c r="D42" s="27" t="n">
        <v>4003.8492</v>
      </c>
      <c r="E42" s="22">
        <f>D42/10*$B$5</f>
        <v/>
      </c>
      <c r="F42" s="19">
        <f>(E42/E41-1)*100</f>
        <v/>
      </c>
    </row>
    <row r="43">
      <c r="A43" s="6" t="inlineStr">
        <is>
          <t>1998-10</t>
        </is>
      </c>
      <c r="B43" s="30" t="inlineStr">
        <is>
          <t>1998-10-30</t>
        </is>
      </c>
      <c r="C43" s="6" t="inlineStr">
        <is>
          <t>Month-end close (GOLDINR)</t>
        </is>
      </c>
      <c r="D43" s="27" t="n">
        <v>3975.2115</v>
      </c>
      <c r="E43" s="22">
        <f>D43/10*$B$5</f>
        <v/>
      </c>
      <c r="F43" s="19">
        <f>(E43/E42-1)*100</f>
        <v/>
      </c>
    </row>
    <row r="44">
      <c r="A44" s="6" t="inlineStr">
        <is>
          <t>1998-11</t>
        </is>
      </c>
      <c r="B44" s="30" t="inlineStr">
        <is>
          <t>1998-11-30</t>
        </is>
      </c>
      <c r="C44" s="6" t="inlineStr">
        <is>
          <t>Month-end close (GOLDINR)</t>
        </is>
      </c>
      <c r="D44" s="27" t="n">
        <v>4027.7481</v>
      </c>
      <c r="E44" s="22">
        <f>D44/10*$B$5</f>
        <v/>
      </c>
      <c r="F44" s="19">
        <f>(E44/E43-1)*100</f>
        <v/>
      </c>
    </row>
    <row r="45">
      <c r="A45" s="6" t="inlineStr">
        <is>
          <t>1998-12</t>
        </is>
      </c>
      <c r="B45" s="30" t="inlineStr">
        <is>
          <t>1998-12-31</t>
        </is>
      </c>
      <c r="C45" s="6" t="inlineStr">
        <is>
          <t>Month-end close (GOLDINR)</t>
        </is>
      </c>
      <c r="D45" s="27" t="n">
        <v>3920.3428</v>
      </c>
      <c r="E45" s="22">
        <f>D45/10*$B$5</f>
        <v/>
      </c>
      <c r="F45" s="19">
        <f>(E45/E44-1)*100</f>
        <v/>
      </c>
    </row>
    <row r="46">
      <c r="A46" s="6" t="inlineStr">
        <is>
          <t>1999-01</t>
        </is>
      </c>
      <c r="B46" s="30" t="inlineStr">
        <is>
          <t>1999-01-29</t>
        </is>
      </c>
      <c r="C46" s="6" t="inlineStr">
        <is>
          <t>Month-end close (GOLDINR)</t>
        </is>
      </c>
      <c r="D46" s="27" t="n">
        <v>3894.2193</v>
      </c>
      <c r="E46" s="22">
        <f>D46/10*$B$5</f>
        <v/>
      </c>
      <c r="F46" s="19">
        <f>(E46/E45-1)*100</f>
        <v/>
      </c>
    </row>
    <row r="47">
      <c r="A47" s="6" t="inlineStr">
        <is>
          <t>1999-02</t>
        </is>
      </c>
      <c r="B47" s="30" t="inlineStr">
        <is>
          <t>1999-02-26</t>
        </is>
      </c>
      <c r="C47" s="6" t="inlineStr">
        <is>
          <t>Month-end close (GOLDINR)</t>
        </is>
      </c>
      <c r="D47" s="27" t="n">
        <v>3925.0392</v>
      </c>
      <c r="E47" s="22">
        <f>D47/10*$B$5</f>
        <v/>
      </c>
      <c r="F47" s="19">
        <f>(E47/E46-1)*100</f>
        <v/>
      </c>
    </row>
    <row r="48">
      <c r="A48" s="6" t="inlineStr">
        <is>
          <t>1999-03</t>
        </is>
      </c>
      <c r="B48" s="30" t="inlineStr">
        <is>
          <t>1999-03-31</t>
        </is>
      </c>
      <c r="C48" s="6" t="inlineStr">
        <is>
          <t>Month-end close (GOLDINR)</t>
        </is>
      </c>
      <c r="D48" s="27" t="n">
        <v>3804.0484</v>
      </c>
      <c r="E48" s="22">
        <f>D48/10*$B$5</f>
        <v/>
      </c>
      <c r="F48" s="19">
        <f>(E48/E47-1)*100</f>
        <v/>
      </c>
    </row>
    <row r="49">
      <c r="A49" s="6" t="inlineStr">
        <is>
          <t>1999-04</t>
        </is>
      </c>
      <c r="B49" s="30" t="inlineStr">
        <is>
          <t>1999-04-30</t>
        </is>
      </c>
      <c r="C49" s="6" t="inlineStr">
        <is>
          <t>Month-end close (GOLDINR)</t>
        </is>
      </c>
      <c r="D49" s="27" t="n">
        <v>3940.0791</v>
      </c>
      <c r="E49" s="22">
        <f>D49/10*$B$5</f>
        <v/>
      </c>
      <c r="F49" s="19">
        <f>(E49/E48-1)*100</f>
        <v/>
      </c>
    </row>
    <row r="50">
      <c r="A50" s="6" t="inlineStr">
        <is>
          <t>1999-05</t>
        </is>
      </c>
      <c r="B50" s="30" t="inlineStr">
        <is>
          <t>1999-05-28</t>
        </is>
      </c>
      <c r="C50" s="6" t="inlineStr">
        <is>
          <t>Month-end close (GOLDINR)</t>
        </is>
      </c>
      <c r="D50" s="27" t="n">
        <v>3700.3934</v>
      </c>
      <c r="E50" s="22">
        <f>D50/10*$B$5</f>
        <v/>
      </c>
      <c r="F50" s="19">
        <f>(E50/E49-1)*100</f>
        <v/>
      </c>
    </row>
    <row r="51">
      <c r="A51" s="6" t="inlineStr">
        <is>
          <t>1999-06</t>
        </is>
      </c>
      <c r="B51" s="30" t="inlineStr">
        <is>
          <t>1999-06-30</t>
        </is>
      </c>
      <c r="C51" s="6" t="inlineStr">
        <is>
          <t>Month-end close (GOLDINR)</t>
        </is>
      </c>
      <c r="D51" s="27" t="n">
        <v>3634.2915</v>
      </c>
      <c r="E51" s="22">
        <f>D51/10*$B$5</f>
        <v/>
      </c>
      <c r="F51" s="19">
        <f>(E51/E50-1)*100</f>
        <v/>
      </c>
    </row>
    <row r="52">
      <c r="A52" s="6" t="inlineStr">
        <is>
          <t>1999-07</t>
        </is>
      </c>
      <c r="B52" s="30" t="inlineStr">
        <is>
          <t>1999-07-30</t>
        </is>
      </c>
      <c r="C52" s="6" t="inlineStr">
        <is>
          <t>Month-end close (GOLDINR)</t>
        </is>
      </c>
      <c r="D52" s="27" t="n">
        <v>3554.1686</v>
      </c>
      <c r="E52" s="22">
        <f>D52/10*$B$5</f>
        <v/>
      </c>
      <c r="F52" s="19">
        <f>(E52/E51-1)*100</f>
        <v/>
      </c>
    </row>
    <row r="53">
      <c r="A53" s="6" t="inlineStr">
        <is>
          <t>1999-08</t>
        </is>
      </c>
      <c r="B53" s="30" t="inlineStr">
        <is>
          <t>1999-08-31</t>
        </is>
      </c>
      <c r="C53" s="6" t="inlineStr">
        <is>
          <t>Month-end close (GOLDINR)</t>
        </is>
      </c>
      <c r="D53" s="27" t="n">
        <v>3542.3152</v>
      </c>
      <c r="E53" s="22">
        <f>D53/10*$B$5</f>
        <v/>
      </c>
      <c r="F53" s="19">
        <f>(E53/E52-1)*100</f>
        <v/>
      </c>
    </row>
    <row r="54">
      <c r="A54" s="6" t="inlineStr">
        <is>
          <t>1999-09</t>
        </is>
      </c>
      <c r="B54" s="30" t="inlineStr">
        <is>
          <t>1999-09-30</t>
        </is>
      </c>
      <c r="C54" s="6" t="inlineStr">
        <is>
          <t>Month-end close (GOLDINR)</t>
        </is>
      </c>
      <c r="D54" s="27" t="n">
        <v>4184.5708</v>
      </c>
      <c r="E54" s="22">
        <f>D54/10*$B$5</f>
        <v/>
      </c>
      <c r="F54" s="19">
        <f>(E54/E53-1)*100</f>
        <v/>
      </c>
    </row>
    <row r="55">
      <c r="A55" s="6" t="inlineStr">
        <is>
          <t>1999-10</t>
        </is>
      </c>
      <c r="B55" s="30" t="inlineStr">
        <is>
          <t>1999-10-29</t>
        </is>
      </c>
      <c r="C55" s="6" t="inlineStr">
        <is>
          <t>Month-end close (GOLDINR)</t>
        </is>
      </c>
      <c r="D55" s="27" t="n">
        <v>4165.7761</v>
      </c>
      <c r="E55" s="22">
        <f>D55/10*$B$5</f>
        <v/>
      </c>
      <c r="F55" s="19">
        <f>(E55/E54-1)*100</f>
        <v/>
      </c>
    </row>
    <row r="56">
      <c r="A56" s="6" t="inlineStr">
        <is>
          <t>1999-11</t>
        </is>
      </c>
      <c r="B56" s="30" t="inlineStr">
        <is>
          <t>1999-11-30</t>
        </is>
      </c>
      <c r="C56" s="6" t="inlineStr">
        <is>
          <t>Month-end close (GOLDINR)</t>
        </is>
      </c>
      <c r="D56" s="27" t="n">
        <v>4058.7731</v>
      </c>
      <c r="E56" s="22">
        <f>D56/10*$B$5</f>
        <v/>
      </c>
      <c r="F56" s="19">
        <f>(E56/E55-1)*100</f>
        <v/>
      </c>
    </row>
    <row r="57">
      <c r="A57" s="6" t="inlineStr">
        <is>
          <t>1999-12</t>
        </is>
      </c>
      <c r="B57" s="30" t="inlineStr">
        <is>
          <t>1999-12-31</t>
        </is>
      </c>
      <c r="C57" s="6" t="inlineStr">
        <is>
          <t>Month-end close (GOLDINR)</t>
        </is>
      </c>
      <c r="D57" s="27" t="n">
        <v>4058.3799</v>
      </c>
      <c r="E57" s="22">
        <f>D57/10*$B$5</f>
        <v/>
      </c>
      <c r="F57" s="19">
        <f>(E57/E56-1)*100</f>
        <v/>
      </c>
    </row>
    <row r="58">
      <c r="A58" s="6" t="inlineStr">
        <is>
          <t>2000-01</t>
        </is>
      </c>
      <c r="B58" s="30" t="inlineStr">
        <is>
          <t>2000-01-31</t>
        </is>
      </c>
      <c r="C58" s="6" t="inlineStr">
        <is>
          <t>Month-end close (GOLDINR)</t>
        </is>
      </c>
      <c r="D58" s="27" t="n">
        <v>3967.7172</v>
      </c>
      <c r="E58" s="22">
        <f>D58/10*$B$5</f>
        <v/>
      </c>
      <c r="F58" s="19">
        <f>(E58/E57-1)*100</f>
        <v/>
      </c>
    </row>
    <row r="59">
      <c r="A59" s="6" t="inlineStr">
        <is>
          <t>2000-02</t>
        </is>
      </c>
      <c r="B59" s="30" t="inlineStr">
        <is>
          <t>2000-02-29</t>
        </is>
      </c>
      <c r="C59" s="6" t="inlineStr">
        <is>
          <t>Month-end close (GOLDINR)</t>
        </is>
      </c>
      <c r="D59" s="27" t="n">
        <v>4122.1565</v>
      </c>
      <c r="E59" s="22">
        <f>D59/10*$B$5</f>
        <v/>
      </c>
      <c r="F59" s="19">
        <f>(E59/E58-1)*100</f>
        <v/>
      </c>
    </row>
    <row r="60">
      <c r="A60" s="6" t="inlineStr">
        <is>
          <t>2000-03</t>
        </is>
      </c>
      <c r="B60" s="30" t="inlineStr">
        <is>
          <t>2000-03-31</t>
        </is>
      </c>
      <c r="C60" s="6" t="inlineStr">
        <is>
          <t>Month-end close (GOLDINR)</t>
        </is>
      </c>
      <c r="D60" s="27" t="n">
        <v>3863.0553</v>
      </c>
      <c r="E60" s="22">
        <f>D60/10*$B$5</f>
        <v/>
      </c>
      <c r="F60" s="19">
        <f>(E60/E59-1)*100</f>
        <v/>
      </c>
    </row>
    <row r="61">
      <c r="A61" s="6" t="inlineStr">
        <is>
          <t>2000-04</t>
        </is>
      </c>
      <c r="B61" s="30" t="inlineStr">
        <is>
          <t>2000-04-28</t>
        </is>
      </c>
      <c r="C61" s="6" t="inlineStr">
        <is>
          <t>Month-end close (GOLDINR)</t>
        </is>
      </c>
      <c r="D61" s="27" t="n">
        <v>3866.7896</v>
      </c>
      <c r="E61" s="22">
        <f>D61/10*$B$5</f>
        <v/>
      </c>
      <c r="F61" s="19">
        <f>(E61/E60-1)*100</f>
        <v/>
      </c>
    </row>
    <row r="62">
      <c r="A62" s="6" t="inlineStr">
        <is>
          <t>2000-05</t>
        </is>
      </c>
      <c r="B62" s="30" t="inlineStr">
        <is>
          <t>2000-05-31</t>
        </is>
      </c>
      <c r="C62" s="6" t="inlineStr">
        <is>
          <t>Month-end close (GOLDINR)</t>
        </is>
      </c>
      <c r="D62" s="27" t="n">
        <v>3895.1031</v>
      </c>
      <c r="E62" s="22">
        <f>D62/10*$B$5</f>
        <v/>
      </c>
      <c r="F62" s="19">
        <f>(E62/E61-1)*100</f>
        <v/>
      </c>
    </row>
    <row r="63">
      <c r="A63" s="6" t="inlineStr">
        <is>
          <t>2000-06</t>
        </is>
      </c>
      <c r="B63" s="30" t="inlineStr">
        <is>
          <t>2000-06-30</t>
        </is>
      </c>
      <c r="C63" s="6" t="inlineStr">
        <is>
          <t>Month-end close (GOLDINR)</t>
        </is>
      </c>
      <c r="D63" s="27" t="n">
        <v>4146.1892</v>
      </c>
      <c r="E63" s="22">
        <f>D63/10*$B$5</f>
        <v/>
      </c>
      <c r="F63" s="19">
        <f>(E63/E62-1)*100</f>
        <v/>
      </c>
    </row>
    <row r="64">
      <c r="A64" s="6" t="inlineStr">
        <is>
          <t>2000-07</t>
        </is>
      </c>
      <c r="B64" s="30" t="inlineStr">
        <is>
          <t>2000-07-31</t>
        </is>
      </c>
      <c r="C64" s="6" t="inlineStr">
        <is>
          <t>Month-end close (GOLDINR)</t>
        </is>
      </c>
      <c r="D64" s="27" t="n">
        <v>4008.9184</v>
      </c>
      <c r="E64" s="22">
        <f>D64/10*$B$5</f>
        <v/>
      </c>
      <c r="F64" s="19">
        <f>(E64/E63-1)*100</f>
        <v/>
      </c>
    </row>
    <row r="65">
      <c r="A65" s="6" t="inlineStr">
        <is>
          <t>2000-08</t>
        </is>
      </c>
      <c r="B65" s="30" t="inlineStr">
        <is>
          <t>2000-08-31</t>
        </is>
      </c>
      <c r="C65" s="6" t="inlineStr">
        <is>
          <t>Month-end close (GOLDINR)</t>
        </is>
      </c>
      <c r="D65" s="27" t="n">
        <v>4040.6944</v>
      </c>
      <c r="E65" s="22">
        <f>D65/10*$B$5</f>
        <v/>
      </c>
      <c r="F65" s="19">
        <f>(E65/E64-1)*100</f>
        <v/>
      </c>
    </row>
    <row r="66">
      <c r="A66" s="6" t="inlineStr">
        <is>
          <t>2000-09</t>
        </is>
      </c>
      <c r="B66" s="30" t="inlineStr">
        <is>
          <t>2000-09-29</t>
        </is>
      </c>
      <c r="C66" s="6" t="inlineStr">
        <is>
          <t>Month-end close (GOLDINR)</t>
        </is>
      </c>
      <c r="D66" s="27" t="n">
        <v>4038.3058</v>
      </c>
      <c r="E66" s="22">
        <f>D66/10*$B$5</f>
        <v/>
      </c>
      <c r="F66" s="19">
        <f>(E66/E65-1)*100</f>
        <v/>
      </c>
    </row>
    <row r="67">
      <c r="A67" s="6" t="inlineStr">
        <is>
          <t>2000-10</t>
        </is>
      </c>
      <c r="B67" s="30" t="inlineStr">
        <is>
          <t>2000-10-31</t>
        </is>
      </c>
      <c r="C67" s="6" t="inlineStr">
        <is>
          <t>Month-end close (GOLDINR)</t>
        </is>
      </c>
      <c r="D67" s="27" t="n">
        <v>3978.9619</v>
      </c>
      <c r="E67" s="22">
        <f>D67/10*$B$5</f>
        <v/>
      </c>
      <c r="F67" s="19">
        <f>(E67/E66-1)*100</f>
        <v/>
      </c>
    </row>
    <row r="68">
      <c r="A68" s="6" t="inlineStr">
        <is>
          <t>2000-11</t>
        </is>
      </c>
      <c r="B68" s="30" t="inlineStr">
        <is>
          <t>2000-11-30</t>
        </is>
      </c>
      <c r="C68" s="6" t="inlineStr">
        <is>
          <t>Month-end close (GOLDINR)</t>
        </is>
      </c>
      <c r="D68" s="27" t="n">
        <v>4048.1613</v>
      </c>
      <c r="E68" s="22">
        <f>D68/10*$B$5</f>
        <v/>
      </c>
      <c r="F68" s="19">
        <f>(E68/E67-1)*100</f>
        <v/>
      </c>
    </row>
    <row r="69">
      <c r="A69" s="6" t="inlineStr">
        <is>
          <t>2000-12</t>
        </is>
      </c>
      <c r="B69" s="30" t="inlineStr">
        <is>
          <t>2000-12-29</t>
        </is>
      </c>
      <c r="C69" s="6" t="inlineStr">
        <is>
          <t>Month-end close (GOLDINR)</t>
        </is>
      </c>
      <c r="D69" s="27" t="n">
        <v>4085.7865</v>
      </c>
      <c r="E69" s="22">
        <f>D69/10*$B$5</f>
        <v/>
      </c>
      <c r="F69" s="19">
        <f>(E69/E68-1)*100</f>
        <v/>
      </c>
    </row>
    <row r="70">
      <c r="A70" s="6" t="inlineStr">
        <is>
          <t>2001-01</t>
        </is>
      </c>
      <c r="B70" s="30" t="inlineStr">
        <is>
          <t>2001-01-31</t>
        </is>
      </c>
      <c r="C70" s="6" t="inlineStr">
        <is>
          <t>Month-end close (GOLDINR)</t>
        </is>
      </c>
      <c r="D70" s="27" t="n">
        <v>3958.5729</v>
      </c>
      <c r="E70" s="22">
        <f>D70/10*$B$5</f>
        <v/>
      </c>
      <c r="F70" s="19">
        <f>(E70/E69-1)*100</f>
        <v/>
      </c>
    </row>
    <row r="71">
      <c r="A71" s="6" t="inlineStr">
        <is>
          <t>2001-02</t>
        </is>
      </c>
      <c r="B71" s="30" t="inlineStr">
        <is>
          <t>2001-02-28</t>
        </is>
      </c>
      <c r="C71" s="6" t="inlineStr">
        <is>
          <t>Month-end close (GOLDINR)</t>
        </is>
      </c>
      <c r="D71" s="27" t="n">
        <v>3990.8175</v>
      </c>
      <c r="E71" s="22">
        <f>D71/10*$B$5</f>
        <v/>
      </c>
      <c r="F71" s="19">
        <f>(E71/E70-1)*100</f>
        <v/>
      </c>
    </row>
    <row r="72">
      <c r="A72" s="6" t="inlineStr">
        <is>
          <t>2001-03</t>
        </is>
      </c>
      <c r="B72" s="30" t="inlineStr">
        <is>
          <t>2001-03-30</t>
        </is>
      </c>
      <c r="C72" s="6" t="inlineStr">
        <is>
          <t>Month-end close (GOLDINR)</t>
        </is>
      </c>
      <c r="D72" s="27" t="n">
        <v>3858.7392</v>
      </c>
      <c r="E72" s="22">
        <f>D72/10*$B$5</f>
        <v/>
      </c>
      <c r="F72" s="19">
        <f>(E72/E71-1)*100</f>
        <v/>
      </c>
    </row>
    <row r="73">
      <c r="A73" s="6" t="inlineStr">
        <is>
          <t>2001-04</t>
        </is>
      </c>
      <c r="B73" s="30" t="inlineStr">
        <is>
          <t>2001-04-30</t>
        </is>
      </c>
      <c r="C73" s="6" t="inlineStr">
        <is>
          <t>Month-end close (GOLDINR)</t>
        </is>
      </c>
      <c r="D73" s="27" t="n">
        <v>3968.4316</v>
      </c>
      <c r="E73" s="22">
        <f>D73/10*$B$5</f>
        <v/>
      </c>
      <c r="F73" s="19">
        <f>(E73/E72-1)*100</f>
        <v/>
      </c>
    </row>
    <row r="74">
      <c r="A74" s="6" t="inlineStr">
        <is>
          <t>2001-05</t>
        </is>
      </c>
      <c r="B74" s="30" t="inlineStr">
        <is>
          <t>2001-05-31</t>
        </is>
      </c>
      <c r="C74" s="6" t="inlineStr">
        <is>
          <t>Month-end close (GOLDINR)</t>
        </is>
      </c>
      <c r="D74" s="27" t="n">
        <v>4005.3987</v>
      </c>
      <c r="E74" s="22">
        <f>D74/10*$B$5</f>
        <v/>
      </c>
      <c r="F74" s="19">
        <f>(E74/E73-1)*100</f>
        <v/>
      </c>
    </row>
    <row r="75">
      <c r="A75" s="6" t="inlineStr">
        <is>
          <t>2001-06</t>
        </is>
      </c>
      <c r="B75" s="30" t="inlineStr">
        <is>
          <t>2001-06-29</t>
        </is>
      </c>
      <c r="C75" s="6" t="inlineStr">
        <is>
          <t>Month-end close (GOLDINR)</t>
        </is>
      </c>
      <c r="D75" s="27" t="n">
        <v>4084.3493</v>
      </c>
      <c r="E75" s="22">
        <f>D75/10*$B$5</f>
        <v/>
      </c>
      <c r="F75" s="19">
        <f>(E75/E74-1)*100</f>
        <v/>
      </c>
    </row>
    <row r="76">
      <c r="A76" s="6" t="inlineStr">
        <is>
          <t>2001-07</t>
        </is>
      </c>
      <c r="B76" s="30" t="inlineStr">
        <is>
          <t>2001-07-31</t>
        </is>
      </c>
      <c r="C76" s="6" t="inlineStr">
        <is>
          <t>Month-end close (GOLDINR)</t>
        </is>
      </c>
      <c r="D76" s="27" t="n">
        <v>4031.4744</v>
      </c>
      <c r="E76" s="22">
        <f>D76/10*$B$5</f>
        <v/>
      </c>
      <c r="F76" s="19">
        <f>(E76/E75-1)*100</f>
        <v/>
      </c>
    </row>
    <row r="77">
      <c r="A77" s="6" t="inlineStr">
        <is>
          <t>2001-08</t>
        </is>
      </c>
      <c r="B77" s="30" t="inlineStr">
        <is>
          <t>2001-08-31</t>
        </is>
      </c>
      <c r="C77" s="6" t="inlineStr">
        <is>
          <t>Month-end close (GOLDINR)</t>
        </is>
      </c>
      <c r="D77" s="27" t="n">
        <v>4146.0857</v>
      </c>
      <c r="E77" s="22">
        <f>D77/10*$B$5</f>
        <v/>
      </c>
      <c r="F77" s="19">
        <f>(E77/E76-1)*100</f>
        <v/>
      </c>
    </row>
    <row r="78">
      <c r="A78" s="6" t="inlineStr">
        <is>
          <t>2001-09</t>
        </is>
      </c>
      <c r="B78" s="30" t="inlineStr">
        <is>
          <t>2001-09-28</t>
        </is>
      </c>
      <c r="C78" s="6" t="inlineStr">
        <is>
          <t>Month-end close (GOLDINR)</t>
        </is>
      </c>
      <c r="D78" s="27" t="n">
        <v>4495.1566</v>
      </c>
      <c r="E78" s="22">
        <f>D78/10*$B$5</f>
        <v/>
      </c>
      <c r="F78" s="19">
        <f>(E78/E77-1)*100</f>
        <v/>
      </c>
    </row>
    <row r="79">
      <c r="A79" s="6" t="inlineStr">
        <is>
          <t>2001-10</t>
        </is>
      </c>
      <c r="B79" s="30" t="inlineStr">
        <is>
          <t>2001-10-31</t>
        </is>
      </c>
      <c r="C79" s="6" t="inlineStr">
        <is>
          <t>Month-end close (GOLDINR)</t>
        </is>
      </c>
      <c r="D79" s="27" t="n">
        <v>4299.4753</v>
      </c>
      <c r="E79" s="22">
        <f>D79/10*$B$5</f>
        <v/>
      </c>
      <c r="F79" s="19">
        <f>(E79/E78-1)*100</f>
        <v/>
      </c>
    </row>
    <row r="80">
      <c r="A80" s="6" t="inlineStr">
        <is>
          <t>2001-11</t>
        </is>
      </c>
      <c r="B80" s="30" t="inlineStr">
        <is>
          <t>2001-11-30</t>
        </is>
      </c>
      <c r="C80" s="6" t="inlineStr">
        <is>
          <t>Month-end close (GOLDINR)</t>
        </is>
      </c>
      <c r="D80" s="27" t="n">
        <v>4216.0478</v>
      </c>
      <c r="E80" s="22">
        <f>D80/10*$B$5</f>
        <v/>
      </c>
      <c r="F80" s="19">
        <f>(E80/E79-1)*100</f>
        <v/>
      </c>
    </row>
    <row r="81">
      <c r="A81" s="6" t="inlineStr">
        <is>
          <t>2001-12</t>
        </is>
      </c>
      <c r="B81" s="30" t="inlineStr">
        <is>
          <t>2001-12-31</t>
        </is>
      </c>
      <c r="C81" s="6" t="inlineStr">
        <is>
          <t>Month-end close (GOLDINR)</t>
        </is>
      </c>
      <c r="D81" s="27" t="n">
        <v>4282.1595</v>
      </c>
      <c r="E81" s="22">
        <f>D81/10*$B$5</f>
        <v/>
      </c>
      <c r="F81" s="19">
        <f>(E81/E80-1)*100</f>
        <v/>
      </c>
    </row>
    <row r="82">
      <c r="A82" s="6" t="inlineStr">
        <is>
          <t>2002-01</t>
        </is>
      </c>
      <c r="B82" s="30" t="inlineStr">
        <is>
          <t>2002-01-31</t>
        </is>
      </c>
      <c r="C82" s="6" t="inlineStr">
        <is>
          <t>Month-end close (GOLDINR)</t>
        </is>
      </c>
      <c r="D82" s="27" t="n">
        <v>4400.9537</v>
      </c>
      <c r="E82" s="22">
        <f>D82/10*$B$5</f>
        <v/>
      </c>
      <c r="F82" s="19">
        <f>(E82/E81-1)*100</f>
        <v/>
      </c>
    </row>
    <row r="83">
      <c r="A83" s="6" t="inlineStr">
        <is>
          <t>2002-02</t>
        </is>
      </c>
      <c r="B83" s="30" t="inlineStr">
        <is>
          <t>2002-02-28</t>
        </is>
      </c>
      <c r="C83" s="6" t="inlineStr">
        <is>
          <t>Month-end close (GOLDINR)</t>
        </is>
      </c>
      <c r="D83" s="27" t="n">
        <v>4632.6651</v>
      </c>
      <c r="E83" s="22">
        <f>D83/10*$B$5</f>
        <v/>
      </c>
      <c r="F83" s="19">
        <f>(E83/E82-1)*100</f>
        <v/>
      </c>
    </row>
    <row r="84">
      <c r="A84" s="6" t="inlineStr">
        <is>
          <t>2002-03</t>
        </is>
      </c>
      <c r="B84" s="30" t="inlineStr">
        <is>
          <t>2002-03-29</t>
        </is>
      </c>
      <c r="C84" s="6" t="inlineStr">
        <is>
          <t>Month-end close (GOLDINR)</t>
        </is>
      </c>
      <c r="D84" s="27" t="n">
        <v>4733.8018</v>
      </c>
      <c r="E84" s="22">
        <f>D84/10*$B$5</f>
        <v/>
      </c>
      <c r="F84" s="19">
        <f>(E84/E83-1)*100</f>
        <v/>
      </c>
    </row>
    <row r="85">
      <c r="A85" s="6" t="inlineStr">
        <is>
          <t>2002-04</t>
        </is>
      </c>
      <c r="B85" s="30" t="inlineStr">
        <is>
          <t>2002-04-30</t>
        </is>
      </c>
      <c r="C85" s="6" t="inlineStr">
        <is>
          <t>Month-end close (GOLDINR)</t>
        </is>
      </c>
      <c r="D85" s="27" t="n">
        <v>4837.9505</v>
      </c>
      <c r="E85" s="22">
        <f>D85/10*$B$5</f>
        <v/>
      </c>
      <c r="F85" s="19">
        <f>(E85/E84-1)*100</f>
        <v/>
      </c>
    </row>
    <row r="86">
      <c r="A86" s="6" t="inlineStr">
        <is>
          <t>2002-05</t>
        </is>
      </c>
      <c r="B86" s="30" t="inlineStr">
        <is>
          <t>2002-05-31</t>
        </is>
      </c>
      <c r="C86" s="6" t="inlineStr">
        <is>
          <t>Month-end close (GOLDINR)</t>
        </is>
      </c>
      <c r="D86" s="27" t="n">
        <v>5132.3548</v>
      </c>
      <c r="E86" s="22">
        <f>D86/10*$B$5</f>
        <v/>
      </c>
      <c r="F86" s="19">
        <f>(E86/E85-1)*100</f>
        <v/>
      </c>
    </row>
    <row r="87">
      <c r="A87" s="6" t="inlineStr">
        <is>
          <t>2002-06</t>
        </is>
      </c>
      <c r="B87" s="30" t="inlineStr">
        <is>
          <t>2002-06-28</t>
        </is>
      </c>
      <c r="C87" s="6" t="inlineStr">
        <is>
          <t>Month-end close (GOLDINR)</t>
        </is>
      </c>
      <c r="D87" s="27" t="n">
        <v>4929.8866</v>
      </c>
      <c r="E87" s="22">
        <f>D87/10*$B$5</f>
        <v/>
      </c>
      <c r="F87" s="19">
        <f>(E87/E86-1)*100</f>
        <v/>
      </c>
    </row>
    <row r="88">
      <c r="A88" s="6" t="inlineStr">
        <is>
          <t>2002-07</t>
        </is>
      </c>
      <c r="B88" s="30" t="inlineStr">
        <is>
          <t>2002-07-31</t>
        </is>
      </c>
      <c r="C88" s="6" t="inlineStr">
        <is>
          <t>Month-end close (GOLDINR)</t>
        </is>
      </c>
      <c r="D88" s="27" t="n">
        <v>4734.2616</v>
      </c>
      <c r="E88" s="22">
        <f>D88/10*$B$5</f>
        <v/>
      </c>
      <c r="F88" s="19">
        <f>(E88/E87-1)*100</f>
        <v/>
      </c>
    </row>
    <row r="89">
      <c r="A89" s="6" t="inlineStr">
        <is>
          <t>2002-08</t>
        </is>
      </c>
      <c r="B89" s="30" t="inlineStr">
        <is>
          <t>2002-08-30</t>
        </is>
      </c>
      <c r="C89" s="6" t="inlineStr">
        <is>
          <t>Month-end close (GOLDINR)</t>
        </is>
      </c>
      <c r="D89" s="27" t="n">
        <v>4866.3666</v>
      </c>
      <c r="E89" s="22">
        <f>D89/10*$B$5</f>
        <v/>
      </c>
      <c r="F89" s="19">
        <f>(E89/E88-1)*100</f>
        <v/>
      </c>
    </row>
    <row r="90">
      <c r="A90" s="6" t="inlineStr">
        <is>
          <t>2002-09</t>
        </is>
      </c>
      <c r="B90" s="30" t="inlineStr">
        <is>
          <t>2002-09-30</t>
        </is>
      </c>
      <c r="C90" s="6" t="inlineStr">
        <is>
          <t>Month-end close (GOLDINR)</t>
        </is>
      </c>
      <c r="D90" s="27" t="n">
        <v>5020.4645</v>
      </c>
      <c r="E90" s="22">
        <f>D90/10*$B$5</f>
        <v/>
      </c>
      <c r="F90" s="19">
        <f>(E90/E89-1)*100</f>
        <v/>
      </c>
    </row>
    <row r="91">
      <c r="A91" s="6" t="inlineStr">
        <is>
          <t>2002-10</t>
        </is>
      </c>
      <c r="B91" s="30" t="inlineStr">
        <is>
          <t>2002-10-31</t>
        </is>
      </c>
      <c r="C91" s="6" t="inlineStr">
        <is>
          <t>Month-end close (GOLDINR)</t>
        </is>
      </c>
      <c r="D91" s="27" t="n">
        <v>4927.824</v>
      </c>
      <c r="E91" s="22">
        <f>D91/10*$B$5</f>
        <v/>
      </c>
      <c r="F91" s="19">
        <f>(E91/E90-1)*100</f>
        <v/>
      </c>
    </row>
    <row r="92">
      <c r="A92" s="6" t="inlineStr">
        <is>
          <t>2002-11</t>
        </is>
      </c>
      <c r="B92" s="30" t="inlineStr">
        <is>
          <t>2002-11-29</t>
        </is>
      </c>
      <c r="C92" s="6" t="inlineStr">
        <is>
          <t>Month-end close (GOLDINR)</t>
        </is>
      </c>
      <c r="D92" s="27" t="n">
        <v>4941.8302</v>
      </c>
      <c r="E92" s="22">
        <f>D92/10*$B$5</f>
        <v/>
      </c>
      <c r="F92" s="19">
        <f>(E92/E91-1)*100</f>
        <v/>
      </c>
    </row>
    <row r="93">
      <c r="A93" s="6" t="inlineStr">
        <is>
          <t>2002-12</t>
        </is>
      </c>
      <c r="B93" s="30" t="inlineStr">
        <is>
          <t>2002-12-31</t>
        </is>
      </c>
      <c r="C93" s="6" t="inlineStr">
        <is>
          <t>Month-end close (GOLDINR)</t>
        </is>
      </c>
      <c r="D93" s="27" t="n">
        <v>5342.332</v>
      </c>
      <c r="E93" s="22">
        <f>D93/10*$B$5</f>
        <v/>
      </c>
      <c r="F93" s="19">
        <f>(E93/E92-1)*100</f>
        <v/>
      </c>
    </row>
    <row r="94">
      <c r="A94" s="6" t="inlineStr">
        <is>
          <t>2003-01</t>
        </is>
      </c>
      <c r="B94" s="30" t="inlineStr">
        <is>
          <t>2003-01-31</t>
        </is>
      </c>
      <c r="C94" s="6" t="inlineStr">
        <is>
          <t>Month-end close (GOLDINR)</t>
        </is>
      </c>
      <c r="D94" s="27" t="n">
        <v>5652.5996</v>
      </c>
      <c r="E94" s="22">
        <f>D94/10*$B$5</f>
        <v/>
      </c>
      <c r="F94" s="19">
        <f>(E94/E93-1)*100</f>
        <v/>
      </c>
    </row>
    <row r="95">
      <c r="A95" s="6" t="inlineStr">
        <is>
          <t>2003-02</t>
        </is>
      </c>
      <c r="B95" s="30" t="inlineStr">
        <is>
          <t>2003-02-28</t>
        </is>
      </c>
      <c r="C95" s="6" t="inlineStr">
        <is>
          <t>Month-end close (GOLDINR)</t>
        </is>
      </c>
      <c r="D95" s="27" t="n">
        <v>5342.6387</v>
      </c>
      <c r="E95" s="22">
        <f>D95/10*$B$5</f>
        <v/>
      </c>
      <c r="F95" s="19">
        <f>(E95/E94-1)*100</f>
        <v/>
      </c>
    </row>
    <row r="96">
      <c r="A96" s="6" t="inlineStr">
        <is>
          <t>2003-03</t>
        </is>
      </c>
      <c r="B96" s="30" t="inlineStr">
        <is>
          <t>2003-03-31</t>
        </is>
      </c>
      <c r="C96" s="6" t="inlineStr">
        <is>
          <t>Month-end close (GOLDINR)</t>
        </is>
      </c>
      <c r="D96" s="27" t="n">
        <v>5137.4215</v>
      </c>
      <c r="E96" s="22">
        <f>D96/10*$B$5</f>
        <v/>
      </c>
      <c r="F96" s="19">
        <f>(E96/E95-1)*100</f>
        <v/>
      </c>
    </row>
    <row r="97">
      <c r="A97" s="6" t="inlineStr">
        <is>
          <t>2003-04</t>
        </is>
      </c>
      <c r="B97" s="30" t="inlineStr">
        <is>
          <t>2003-04-30</t>
        </is>
      </c>
      <c r="C97" s="6" t="inlineStr">
        <is>
          <t>Month-end close (GOLDINR)</t>
        </is>
      </c>
      <c r="D97" s="27" t="n">
        <v>5145.927</v>
      </c>
      <c r="E97" s="22">
        <f>D97/10*$B$5</f>
        <v/>
      </c>
      <c r="F97" s="19">
        <f>(E97/E96-1)*100</f>
        <v/>
      </c>
    </row>
    <row r="98">
      <c r="A98" s="6" t="inlineStr">
        <is>
          <t>2003-05</t>
        </is>
      </c>
      <c r="B98" s="30" t="inlineStr">
        <is>
          <t>2003-05-30</t>
        </is>
      </c>
      <c r="C98" s="6" t="inlineStr">
        <is>
          <t>Month-end close (GOLDINR)</t>
        </is>
      </c>
      <c r="D98" s="27" t="n">
        <v>5499.8591</v>
      </c>
      <c r="E98" s="22">
        <f>D98/10*$B$5</f>
        <v/>
      </c>
      <c r="F98" s="19">
        <f>(E98/E97-1)*100</f>
        <v/>
      </c>
    </row>
    <row r="99">
      <c r="A99" s="6" t="inlineStr">
        <is>
          <t>2003-06</t>
        </is>
      </c>
      <c r="B99" s="30" t="inlineStr">
        <is>
          <t>2003-06-30</t>
        </is>
      </c>
      <c r="C99" s="6" t="inlineStr">
        <is>
          <t>Month-end close (GOLDINR)</t>
        </is>
      </c>
      <c r="D99" s="27" t="n">
        <v>5154.1788</v>
      </c>
      <c r="E99" s="22">
        <f>D99/10*$B$5</f>
        <v/>
      </c>
      <c r="F99" s="19">
        <f>(E99/E98-1)*100</f>
        <v/>
      </c>
    </row>
    <row r="100">
      <c r="A100" s="6" t="inlineStr">
        <is>
          <t>2003-07</t>
        </is>
      </c>
      <c r="B100" s="30" t="inlineStr">
        <is>
          <t>2003-07-31</t>
        </is>
      </c>
      <c r="C100" s="6" t="inlineStr">
        <is>
          <t>Month-end close (GOLDINR)</t>
        </is>
      </c>
      <c r="D100" s="27" t="n">
        <v>5257.982</v>
      </c>
      <c r="E100" s="22">
        <f>D100/10*$B$5</f>
        <v/>
      </c>
      <c r="F100" s="19">
        <f>(E100/E99-1)*100</f>
        <v/>
      </c>
    </row>
    <row r="101">
      <c r="A101" s="6" t="inlineStr">
        <is>
          <t>2003-08</t>
        </is>
      </c>
      <c r="B101" s="30" t="inlineStr">
        <is>
          <t>2003-08-29</t>
        </is>
      </c>
      <c r="C101" s="6" t="inlineStr">
        <is>
          <t>Month-end close (GOLDINR)</t>
        </is>
      </c>
      <c r="D101" s="27" t="n">
        <v>5525.2395</v>
      </c>
      <c r="E101" s="22">
        <f>D101/10*$B$5</f>
        <v/>
      </c>
      <c r="F101" s="19">
        <f>(E101/E100-1)*100</f>
        <v/>
      </c>
    </row>
    <row r="102">
      <c r="A102" s="6" t="inlineStr">
        <is>
          <t>2003-09</t>
        </is>
      </c>
      <c r="B102" s="30" t="inlineStr">
        <is>
          <t>2003-09-30</t>
        </is>
      </c>
      <c r="C102" s="6" t="inlineStr">
        <is>
          <t>Month-end close (GOLDINR)</t>
        </is>
      </c>
      <c r="D102" s="27" t="n">
        <v>5641.4529</v>
      </c>
      <c r="E102" s="22">
        <f>D102/10*$B$5</f>
        <v/>
      </c>
      <c r="F102" s="19">
        <f>(E102/E101-1)*100</f>
        <v/>
      </c>
    </row>
    <row r="103">
      <c r="A103" s="6" t="inlineStr">
        <is>
          <t>2003-10</t>
        </is>
      </c>
      <c r="B103" s="30" t="inlineStr">
        <is>
          <t>2003-10-31</t>
        </is>
      </c>
      <c r="C103" s="6" t="inlineStr">
        <is>
          <t>Month-end close (GOLDINR)</t>
        </is>
      </c>
      <c r="D103" s="27" t="n">
        <v>5593.9213</v>
      </c>
      <c r="E103" s="22">
        <f>D103/10*$B$5</f>
        <v/>
      </c>
      <c r="F103" s="19">
        <f>(E103/E102-1)*100</f>
        <v/>
      </c>
    </row>
    <row r="104">
      <c r="A104" s="6" t="inlineStr">
        <is>
          <t>2003-11</t>
        </is>
      </c>
      <c r="B104" s="30" t="inlineStr">
        <is>
          <t>2003-11-28</t>
        </is>
      </c>
      <c r="C104" s="6" t="inlineStr">
        <is>
          <t>Month-end close (GOLDINR)</t>
        </is>
      </c>
      <c r="D104" s="27" t="n">
        <v>5844.4502</v>
      </c>
      <c r="E104" s="22">
        <f>D104/10*$B$5</f>
        <v/>
      </c>
      <c r="F104" s="19">
        <f>(E104/E103-1)*100</f>
        <v/>
      </c>
    </row>
    <row r="105">
      <c r="A105" s="6" t="inlineStr">
        <is>
          <t>2003-12</t>
        </is>
      </c>
      <c r="B105" s="30" t="inlineStr">
        <is>
          <t>2003-12-31</t>
        </is>
      </c>
      <c r="C105" s="6" t="inlineStr">
        <is>
          <t>Month-end close (GOLDINR)</t>
        </is>
      </c>
      <c r="D105" s="27" t="n">
        <v>6081.4073</v>
      </c>
      <c r="E105" s="22">
        <f>D105/10*$B$5</f>
        <v/>
      </c>
      <c r="F105" s="19">
        <f>(E105/E104-1)*100</f>
        <v/>
      </c>
    </row>
    <row r="106">
      <c r="A106" s="6" t="inlineStr">
        <is>
          <t>2004-01</t>
        </is>
      </c>
      <c r="B106" s="30" t="inlineStr">
        <is>
          <t>2004-01-30</t>
        </is>
      </c>
      <c r="C106" s="6" t="inlineStr">
        <is>
          <t>Month-end close (GOLDINR)</t>
        </is>
      </c>
      <c r="D106" s="27" t="n">
        <v>5839.9799</v>
      </c>
      <c r="E106" s="22">
        <f>D106/10*$B$5</f>
        <v/>
      </c>
      <c r="F106" s="19">
        <f>(E106/E105-1)*100</f>
        <v/>
      </c>
    </row>
    <row r="107">
      <c r="A107" s="6" t="inlineStr">
        <is>
          <t>2004-02</t>
        </is>
      </c>
      <c r="B107" s="30" t="inlineStr">
        <is>
          <t>2004-02-27</t>
        </is>
      </c>
      <c r="C107" s="6" t="inlineStr">
        <is>
          <t>Month-end close (GOLDINR)</t>
        </is>
      </c>
      <c r="D107" s="27" t="n">
        <v>5749.6338</v>
      </c>
      <c r="E107" s="22">
        <f>D107/10*$B$5</f>
        <v/>
      </c>
      <c r="F107" s="19">
        <f>(E107/E106-1)*100</f>
        <v/>
      </c>
    </row>
    <row r="108">
      <c r="A108" s="6" t="inlineStr">
        <is>
          <t>2004-03</t>
        </is>
      </c>
      <c r="B108" s="30" t="inlineStr">
        <is>
          <t>2004-03-31</t>
        </is>
      </c>
      <c r="C108" s="6" t="inlineStr">
        <is>
          <t>Month-end close (GOLDINR)</t>
        </is>
      </c>
      <c r="D108" s="27" t="n">
        <v>5947.1679</v>
      </c>
      <c r="E108" s="22">
        <f>D108/10*$B$5</f>
        <v/>
      </c>
      <c r="F108" s="19">
        <f>(E108/E107-1)*100</f>
        <v/>
      </c>
    </row>
    <row r="109">
      <c r="A109" s="6" t="inlineStr">
        <is>
          <t>2004-04</t>
        </is>
      </c>
      <c r="B109" s="30" t="inlineStr">
        <is>
          <t>2004-04-30</t>
        </is>
      </c>
      <c r="C109" s="6" t="inlineStr">
        <is>
          <t>Month-end close (GOLDINR)</t>
        </is>
      </c>
      <c r="D109" s="27" t="n">
        <v>5526.8869</v>
      </c>
      <c r="E109" s="22">
        <f>D109/10*$B$5</f>
        <v/>
      </c>
      <c r="F109" s="19">
        <f>(E109/E108-1)*100</f>
        <v/>
      </c>
    </row>
    <row r="110">
      <c r="A110" s="6" t="inlineStr">
        <is>
          <t>2004-05</t>
        </is>
      </c>
      <c r="B110" s="30" t="inlineStr">
        <is>
          <t>2004-05-31</t>
        </is>
      </c>
      <c r="C110" s="6" t="inlineStr">
        <is>
          <t>Month-end close (GOLDINR)</t>
        </is>
      </c>
      <c r="D110" s="27" t="n">
        <v>5773.0212</v>
      </c>
      <c r="E110" s="22">
        <f>D110/10*$B$5</f>
        <v/>
      </c>
      <c r="F110" s="19">
        <f>(E110/E109-1)*100</f>
        <v/>
      </c>
    </row>
    <row r="111">
      <c r="A111" s="6" t="inlineStr">
        <is>
          <t>2004-06</t>
        </is>
      </c>
      <c r="B111" s="30" t="inlineStr">
        <is>
          <t>2004-06-30</t>
        </is>
      </c>
      <c r="C111" s="6" t="inlineStr">
        <is>
          <t>Month-end close (GOLDINR)</t>
        </is>
      </c>
      <c r="D111" s="27" t="n">
        <v>5791.1211</v>
      </c>
      <c r="E111" s="22">
        <f>D111/10*$B$5</f>
        <v/>
      </c>
      <c r="F111" s="19">
        <f>(E111/E110-1)*100</f>
        <v/>
      </c>
    </row>
    <row r="112">
      <c r="A112" s="6" t="inlineStr">
        <is>
          <t>2004-07</t>
        </is>
      </c>
      <c r="B112" s="30" t="inlineStr">
        <is>
          <t>2004-07-30</t>
        </is>
      </c>
      <c r="C112" s="6" t="inlineStr">
        <is>
          <t>Month-end close (GOLDINR)</t>
        </is>
      </c>
      <c r="D112" s="27" t="n">
        <v>5825.1414</v>
      </c>
      <c r="E112" s="22">
        <f>D112/10*$B$5</f>
        <v/>
      </c>
      <c r="F112" s="19">
        <f>(E112/E111-1)*100</f>
        <v/>
      </c>
    </row>
    <row r="113">
      <c r="A113" s="6" t="inlineStr">
        <is>
          <t>2004-08</t>
        </is>
      </c>
      <c r="B113" s="30" t="inlineStr">
        <is>
          <t>2004-08-31</t>
        </is>
      </c>
      <c r="C113" s="6" t="inlineStr">
        <is>
          <t>Month-end close (GOLDINR)</t>
        </is>
      </c>
      <c r="D113" s="27" t="n">
        <v>6094.5881</v>
      </c>
      <c r="E113" s="22">
        <f>D113/10*$B$5</f>
        <v/>
      </c>
      <c r="F113" s="19">
        <f>(E113/E112-1)*100</f>
        <v/>
      </c>
    </row>
    <row r="114">
      <c r="A114" s="6" t="inlineStr">
        <is>
          <t>2004-09</t>
        </is>
      </c>
      <c r="B114" s="30" t="inlineStr">
        <is>
          <t>2004-09-30</t>
        </is>
      </c>
      <c r="C114" s="6" t="inlineStr">
        <is>
          <t>Month-end close (GOLDINR)</t>
        </is>
      </c>
      <c r="D114" s="27" t="n">
        <v>6168.5065</v>
      </c>
      <c r="E114" s="22">
        <f>D114/10*$B$5</f>
        <v/>
      </c>
      <c r="F114" s="19">
        <f>(E114/E113-1)*100</f>
        <v/>
      </c>
    </row>
    <row r="115">
      <c r="A115" s="6" t="inlineStr">
        <is>
          <t>2004-10</t>
        </is>
      </c>
      <c r="B115" s="30" t="inlineStr">
        <is>
          <t>2004-10-29</t>
        </is>
      </c>
      <c r="C115" s="6" t="inlineStr">
        <is>
          <t>Month-end close (GOLDINR)</t>
        </is>
      </c>
      <c r="D115" s="27" t="n">
        <v>6234.8914</v>
      </c>
      <c r="E115" s="22">
        <f>D115/10*$B$5</f>
        <v/>
      </c>
      <c r="F115" s="19">
        <f>(E115/E114-1)*100</f>
        <v/>
      </c>
    </row>
    <row r="116">
      <c r="A116" s="6" t="inlineStr">
        <is>
          <t>2004-11</t>
        </is>
      </c>
      <c r="B116" s="30" t="inlineStr">
        <is>
          <t>2004-11-30</t>
        </is>
      </c>
      <c r="C116" s="6" t="inlineStr">
        <is>
          <t>Month-end close (GOLDINR)</t>
        </is>
      </c>
      <c r="D116" s="27" t="n">
        <v>6433.8113</v>
      </c>
      <c r="E116" s="22">
        <f>D116/10*$B$5</f>
        <v/>
      </c>
      <c r="F116" s="19">
        <f>(E116/E115-1)*100</f>
        <v/>
      </c>
    </row>
    <row r="117">
      <c r="A117" s="6" t="inlineStr">
        <is>
          <t>2004-12</t>
        </is>
      </c>
      <c r="B117" s="30" t="inlineStr">
        <is>
          <t>2004-12-31</t>
        </is>
      </c>
      <c r="C117" s="6" t="inlineStr">
        <is>
          <t>Month-end close (GOLDINR)</t>
        </is>
      </c>
      <c r="D117" s="27" t="n">
        <v>6093.2198</v>
      </c>
      <c r="E117" s="22">
        <f>D117/10*$B$5</f>
        <v/>
      </c>
      <c r="F117" s="19">
        <f>(E117/E116-1)*100</f>
        <v/>
      </c>
    </row>
    <row r="118">
      <c r="A118" s="6" t="inlineStr">
        <is>
          <t>2005-01</t>
        </is>
      </c>
      <c r="B118" s="30" t="inlineStr">
        <is>
          <t>2005-01-31</t>
        </is>
      </c>
      <c r="C118" s="6" t="inlineStr">
        <is>
          <t>Month-end close (GOLDINR)</t>
        </is>
      </c>
      <c r="D118" s="27" t="n">
        <v>5908.5176</v>
      </c>
      <c r="E118" s="22">
        <f>D118/10*$B$5</f>
        <v/>
      </c>
      <c r="F118" s="19">
        <f>(E118/E117-1)*100</f>
        <v/>
      </c>
    </row>
    <row r="119">
      <c r="A119" s="6" t="inlineStr">
        <is>
          <t>2005-02</t>
        </is>
      </c>
      <c r="B119" s="30" t="inlineStr">
        <is>
          <t>2005-02-28</t>
        </is>
      </c>
      <c r="C119" s="6" t="inlineStr">
        <is>
          <t>Month-end close (GOLDINR)</t>
        </is>
      </c>
      <c r="D119" s="27" t="n">
        <v>6092.1164</v>
      </c>
      <c r="E119" s="22">
        <f>D119/10*$B$5</f>
        <v/>
      </c>
      <c r="F119" s="19">
        <f>(E119/E118-1)*100</f>
        <v/>
      </c>
    </row>
    <row r="120">
      <c r="A120" s="6" t="inlineStr">
        <is>
          <t>2005-03</t>
        </is>
      </c>
      <c r="B120" s="30" t="inlineStr">
        <is>
          <t>2005-03-31</t>
        </is>
      </c>
      <c r="C120" s="6" t="inlineStr">
        <is>
          <t>Month-end close (GOLDINR)</t>
        </is>
      </c>
      <c r="D120" s="27" t="n">
        <v>6011.7877</v>
      </c>
      <c r="E120" s="22">
        <f>D120/10*$B$5</f>
        <v/>
      </c>
      <c r="F120" s="19">
        <f>(E120/E119-1)*100</f>
        <v/>
      </c>
    </row>
    <row r="121">
      <c r="A121" s="6" t="inlineStr">
        <is>
          <t>2005-04</t>
        </is>
      </c>
      <c r="B121" s="30" t="inlineStr">
        <is>
          <t>2005-04-29</t>
        </is>
      </c>
      <c r="C121" s="6" t="inlineStr">
        <is>
          <t>Month-end close (GOLDINR)</t>
        </is>
      </c>
      <c r="D121" s="27" t="n">
        <v>6059.9688</v>
      </c>
      <c r="E121" s="22">
        <f>D121/10*$B$5</f>
        <v/>
      </c>
      <c r="F121" s="19">
        <f>(E121/E120-1)*100</f>
        <v/>
      </c>
    </row>
    <row r="122">
      <c r="A122" s="6" t="inlineStr">
        <is>
          <t>2005-05</t>
        </is>
      </c>
      <c r="B122" s="30" t="inlineStr">
        <is>
          <t>2005-05-31</t>
        </is>
      </c>
      <c r="C122" s="6" t="inlineStr">
        <is>
          <t>Month-end close (GOLDINR)</t>
        </is>
      </c>
      <c r="D122" s="27" t="n">
        <v>5843.8657</v>
      </c>
      <c r="E122" s="22">
        <f>D122/10*$B$5</f>
        <v/>
      </c>
      <c r="F122" s="19">
        <f>(E122/E121-1)*100</f>
        <v/>
      </c>
    </row>
    <row r="123">
      <c r="A123" s="6" t="inlineStr">
        <is>
          <t>2005-06</t>
        </is>
      </c>
      <c r="B123" s="30" t="inlineStr">
        <is>
          <t>2005-06-30</t>
        </is>
      </c>
      <c r="C123" s="6" t="inlineStr">
        <is>
          <t>MCX month-end</t>
        </is>
      </c>
      <c r="D123" s="25" t="n"/>
      <c r="E123" s="22">
        <f>Data!E119/10</f>
        <v/>
      </c>
      <c r="F123" s="19">
        <f>(E123/E122-1)*100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8" customWidth="1" min="5" max="5"/>
    <col width="20" customWidth="1" min="6" max="6"/>
    <col width="22" customWidth="1" min="7" max="7"/>
    <col width="16" customWidth="1" min="8" max="8"/>
    <col width="20" customWidth="1" min="9" max="9"/>
    <col width="36" customWidth="1" min="15" max="15"/>
  </cols>
  <sheetData>
    <row r="1">
      <c r="A1" s="4" t="inlineStr">
        <is>
          <t>Every price and rate used (one row per month)</t>
        </is>
      </c>
      <c r="O1" t="inlineStr">
        <is>
          <t>GST on gold (factor, India rate)</t>
        </is>
      </c>
      <c r="P1" s="8" t="n">
        <v>1.03</v>
      </c>
    </row>
    <row r="4">
      <c r="A4" s="15" t="inlineStr">
        <is>
          <t>Period</t>
        </is>
      </c>
      <c r="B4" s="15" t="inlineStr">
        <is>
          <t>Year</t>
        </is>
      </c>
      <c r="C4" s="15" t="inlineStr">
        <is>
          <t>Nifty close</t>
        </is>
      </c>
      <c r="D4" s="15" t="inlineStr">
        <is>
          <t>Nifty date used</t>
        </is>
      </c>
      <c r="E4" s="15" t="inlineStr">
        <is>
          <t>MCX gold close Rs/10g</t>
        </is>
      </c>
      <c r="F4" s="15" t="inlineStr">
        <is>
          <t>Gold date used</t>
        </is>
      </c>
      <c r="G4" s="15" t="inlineStr">
        <is>
          <t>Gold Rs per gram (India rate, incl. GST)</t>
        </is>
      </c>
      <c r="H4" s="15" t="inlineStr">
        <is>
          <t>Inflation % (year)</t>
        </is>
      </c>
      <c r="I4" s="15" t="inlineStr">
        <is>
          <t>Bonds return % (added in Dec)</t>
        </is>
      </c>
      <c r="J4" s="15" t="inlineStr">
        <is>
          <t>Note</t>
        </is>
      </c>
    </row>
    <row r="5">
      <c r="A5" s="6" t="inlineStr">
        <is>
          <t>1995-12</t>
        </is>
      </c>
      <c r="B5" s="6" t="n">
        <v>1995</v>
      </c>
      <c r="C5" s="27" t="n">
        <v>909</v>
      </c>
      <c r="D5" s="30" t="inlineStr">
        <is>
          <t>1995-12-29</t>
        </is>
      </c>
      <c r="E5" s="25" t="n"/>
      <c r="F5" s="6" t="inlineStr">
        <is>
          <t>see Gold 1995-2005</t>
        </is>
      </c>
      <c r="G5" s="22">
        <f>'Gold 1995-2005'!E9*$P$1</f>
        <v/>
      </c>
      <c r="H5" s="9" t="n"/>
      <c r="I5" s="29" t="n"/>
    </row>
    <row r="6">
      <c r="A6" s="6" t="inlineStr">
        <is>
          <t>1996-01</t>
        </is>
      </c>
      <c r="B6" s="6" t="n">
        <v>1996</v>
      </c>
      <c r="C6" s="27" t="n">
        <v>848</v>
      </c>
      <c r="D6" s="30" t="inlineStr">
        <is>
          <t>1996-01-31</t>
        </is>
      </c>
      <c r="E6" s="25" t="n"/>
      <c r="F6" s="6" t="inlineStr">
        <is>
          <t>see Gold 1995-2005</t>
        </is>
      </c>
      <c r="G6" s="22">
        <f>'Gold 1995-2005'!E10*$P$1</f>
        <v/>
      </c>
      <c r="H6" s="26" t="n">
        <v>8.98</v>
      </c>
      <c r="I6" s="16">
        <f>IF(1=INDEX('Bonds calculation'!$L$6:$L$40,MATCH(B6,'Bonds calculation'!$A$6:$A$40,0)),INDEX('Bonds calculation'!$G$6:$G$40,MATCH(B6,'Bonds calculation'!$A$6:$A$40,0)),0)</f>
        <v/>
      </c>
    </row>
    <row r="7">
      <c r="A7" s="6" t="inlineStr">
        <is>
          <t>1996-02</t>
        </is>
      </c>
      <c r="B7" s="6" t="n">
        <v>1996</v>
      </c>
      <c r="C7" s="27" t="n">
        <v>993</v>
      </c>
      <c r="D7" s="30" t="inlineStr">
        <is>
          <t>1996-02-29</t>
        </is>
      </c>
      <c r="E7" s="25" t="n"/>
      <c r="F7" s="6" t="inlineStr">
        <is>
          <t>see Gold 1995-2005</t>
        </is>
      </c>
      <c r="G7" s="22">
        <f>'Gold 1995-2005'!E11*$P$1</f>
        <v/>
      </c>
      <c r="H7" s="26" t="n">
        <v>8.98</v>
      </c>
      <c r="I7" s="16">
        <f>IF(2=INDEX('Bonds calculation'!$L$6:$L$40,MATCH(B7,'Bonds calculation'!$A$6:$A$40,0)),INDEX('Bonds calculation'!$G$6:$G$40,MATCH(B7,'Bonds calculation'!$A$6:$A$40,0)),0)</f>
        <v/>
      </c>
    </row>
    <row r="8">
      <c r="A8" s="6" t="inlineStr">
        <is>
          <t>1996-03</t>
        </is>
      </c>
      <c r="B8" s="6" t="n">
        <v>1996</v>
      </c>
      <c r="C8" s="27" t="n">
        <v>985</v>
      </c>
      <c r="D8" s="30" t="inlineStr">
        <is>
          <t>1996-03-29</t>
        </is>
      </c>
      <c r="E8" s="25" t="n"/>
      <c r="F8" s="6" t="inlineStr">
        <is>
          <t>see Gold 1995-2005</t>
        </is>
      </c>
      <c r="G8" s="22">
        <f>'Gold 1995-2005'!E12*$P$1</f>
        <v/>
      </c>
      <c r="H8" s="26" t="n">
        <v>8.98</v>
      </c>
      <c r="I8" s="16">
        <f>IF(3=INDEX('Bonds calculation'!$L$6:$L$40,MATCH(B8,'Bonds calculation'!$A$6:$A$40,0)),INDEX('Bonds calculation'!$G$6:$G$40,MATCH(B8,'Bonds calculation'!$A$6:$A$40,0)),0)</f>
        <v/>
      </c>
    </row>
    <row r="9">
      <c r="A9" s="6" t="inlineStr">
        <is>
          <t>1996-04</t>
        </is>
      </c>
      <c r="B9" s="6" t="n">
        <v>1996</v>
      </c>
      <c r="C9" s="27" t="n">
        <v>1114</v>
      </c>
      <c r="D9" s="30" t="inlineStr">
        <is>
          <t>1996-04-30</t>
        </is>
      </c>
      <c r="E9" s="25" t="n"/>
      <c r="F9" s="6" t="inlineStr">
        <is>
          <t>see Gold 1995-2005</t>
        </is>
      </c>
      <c r="G9" s="22">
        <f>'Gold 1995-2005'!E13*$P$1</f>
        <v/>
      </c>
      <c r="H9" s="26" t="n">
        <v>8.98</v>
      </c>
      <c r="I9" s="16">
        <f>IF(4=INDEX('Bonds calculation'!$L$6:$L$40,MATCH(B9,'Bonds calculation'!$A$6:$A$40,0)),INDEX('Bonds calculation'!$G$6:$G$40,MATCH(B9,'Bonds calculation'!$A$6:$A$40,0)),0)</f>
        <v/>
      </c>
    </row>
    <row r="10">
      <c r="A10" s="6" t="inlineStr">
        <is>
          <t>1996-05</t>
        </is>
      </c>
      <c r="B10" s="6" t="n">
        <v>1996</v>
      </c>
      <c r="C10" s="27" t="n">
        <v>1089.92</v>
      </c>
      <c r="D10" s="30" t="inlineStr">
        <is>
          <t>1996-05-31</t>
        </is>
      </c>
      <c r="E10" s="25" t="n"/>
      <c r="F10" s="6" t="inlineStr">
        <is>
          <t>see Gold 1995-2005</t>
        </is>
      </c>
      <c r="G10" s="22">
        <f>'Gold 1995-2005'!E14*$P$1</f>
        <v/>
      </c>
      <c r="H10" s="26" t="n">
        <v>8.98</v>
      </c>
      <c r="I10" s="16">
        <f>IF(5=INDEX('Bonds calculation'!$L$6:$L$40,MATCH(B10,'Bonds calculation'!$A$6:$A$40,0)),INDEX('Bonds calculation'!$G$6:$G$40,MATCH(B10,'Bonds calculation'!$A$6:$A$40,0)),0)</f>
        <v/>
      </c>
    </row>
    <row r="11">
      <c r="A11" s="6" t="inlineStr">
        <is>
          <t>1996-06</t>
        </is>
      </c>
      <c r="B11" s="6" t="n">
        <v>1996</v>
      </c>
      <c r="C11" s="27" t="n">
        <v>1122</v>
      </c>
      <c r="D11" s="30" t="inlineStr">
        <is>
          <t>1996-06-28</t>
        </is>
      </c>
      <c r="E11" s="25" t="n"/>
      <c r="F11" s="6" t="inlineStr">
        <is>
          <t>see Gold 1995-2005</t>
        </is>
      </c>
      <c r="G11" s="22">
        <f>'Gold 1995-2005'!E15*$P$1</f>
        <v/>
      </c>
      <c r="H11" s="26" t="n">
        <v>8.98</v>
      </c>
      <c r="I11" s="16">
        <f>IF(6=INDEX('Bonds calculation'!$L$6:$L$40,MATCH(B11,'Bonds calculation'!$A$6:$A$40,0)),INDEX('Bonds calculation'!$G$6:$G$40,MATCH(B11,'Bonds calculation'!$A$6:$A$40,0)),0)</f>
        <v/>
      </c>
    </row>
    <row r="12">
      <c r="A12" s="6" t="inlineStr">
        <is>
          <t>1996-07</t>
        </is>
      </c>
      <c r="B12" s="6" t="n">
        <v>1996</v>
      </c>
      <c r="C12" s="27" t="n">
        <v>1042.81</v>
      </c>
      <c r="D12" s="30" t="inlineStr">
        <is>
          <t>1996-07-31</t>
        </is>
      </c>
      <c r="E12" s="25" t="n"/>
      <c r="F12" s="6" t="inlineStr">
        <is>
          <t>see Gold 1995-2005</t>
        </is>
      </c>
      <c r="G12" s="22">
        <f>'Gold 1995-2005'!E16*$P$1</f>
        <v/>
      </c>
      <c r="H12" s="26" t="n">
        <v>8.98</v>
      </c>
      <c r="I12" s="16">
        <f>IF(7=INDEX('Bonds calculation'!$L$6:$L$40,MATCH(B12,'Bonds calculation'!$A$6:$A$40,0)),INDEX('Bonds calculation'!$G$6:$G$40,MATCH(B12,'Bonds calculation'!$A$6:$A$40,0)),0)</f>
        <v/>
      </c>
    </row>
    <row r="13">
      <c r="A13" s="6" t="inlineStr">
        <is>
          <t>1996-08</t>
        </is>
      </c>
      <c r="B13" s="6" t="n">
        <v>1996</v>
      </c>
      <c r="C13" s="27" t="n">
        <v>1029</v>
      </c>
      <c r="D13" s="30" t="inlineStr">
        <is>
          <t>1996-08-30</t>
        </is>
      </c>
      <c r="E13" s="25" t="n"/>
      <c r="F13" s="6" t="inlineStr">
        <is>
          <t>see Gold 1995-2005</t>
        </is>
      </c>
      <c r="G13" s="22">
        <f>'Gold 1995-2005'!E17*$P$1</f>
        <v/>
      </c>
      <c r="H13" s="26" t="n">
        <v>8.98</v>
      </c>
      <c r="I13" s="16">
        <f>IF(8=INDEX('Bonds calculation'!$L$6:$L$40,MATCH(B13,'Bonds calculation'!$A$6:$A$40,0)),INDEX('Bonds calculation'!$G$6:$G$40,MATCH(B13,'Bonds calculation'!$A$6:$A$40,0)),0)</f>
        <v/>
      </c>
    </row>
    <row r="14">
      <c r="A14" s="6" t="inlineStr">
        <is>
          <t>1996-09</t>
        </is>
      </c>
      <c r="B14" s="6" t="n">
        <v>1996</v>
      </c>
      <c r="C14" s="27" t="n">
        <v>943.96</v>
      </c>
      <c r="D14" s="30" t="inlineStr">
        <is>
          <t>1996-09-30</t>
        </is>
      </c>
      <c r="E14" s="25" t="n"/>
      <c r="F14" s="6" t="inlineStr">
        <is>
          <t>see Gold 1995-2005</t>
        </is>
      </c>
      <c r="G14" s="22">
        <f>'Gold 1995-2005'!E18*$P$1</f>
        <v/>
      </c>
      <c r="H14" s="26" t="n">
        <v>8.98</v>
      </c>
      <c r="I14" s="16">
        <f>IF(9=INDEX('Bonds calculation'!$L$6:$L$40,MATCH(B14,'Bonds calculation'!$A$6:$A$40,0)),INDEX('Bonds calculation'!$G$6:$G$40,MATCH(B14,'Bonds calculation'!$A$6:$A$40,0)),0)</f>
        <v/>
      </c>
    </row>
    <row r="15">
      <c r="A15" s="6" t="inlineStr">
        <is>
          <t>1996-10</t>
        </is>
      </c>
      <c r="B15" s="6" t="n">
        <v>1996</v>
      </c>
      <c r="C15" s="27" t="n">
        <v>909.29</v>
      </c>
      <c r="D15" s="30" t="inlineStr">
        <is>
          <t>1996-10-31</t>
        </is>
      </c>
      <c r="E15" s="25" t="n"/>
      <c r="F15" s="6" t="inlineStr">
        <is>
          <t>see Gold 1995-2005</t>
        </is>
      </c>
      <c r="G15" s="22">
        <f>'Gold 1995-2005'!E19*$P$1</f>
        <v/>
      </c>
      <c r="H15" s="26" t="n">
        <v>8.98</v>
      </c>
      <c r="I15" s="16">
        <f>IF(10=INDEX('Bonds calculation'!$L$6:$L$40,MATCH(B15,'Bonds calculation'!$A$6:$A$40,0)),INDEX('Bonds calculation'!$G$6:$G$40,MATCH(B15,'Bonds calculation'!$A$6:$A$40,0)),0)</f>
        <v/>
      </c>
    </row>
    <row r="16">
      <c r="A16" s="6" t="inlineStr">
        <is>
          <t>1996-11</t>
        </is>
      </c>
      <c r="B16" s="6" t="n">
        <v>1996</v>
      </c>
      <c r="C16" s="27" t="n">
        <v>830.3200000000001</v>
      </c>
      <c r="D16" s="30" t="inlineStr">
        <is>
          <t>1996-11-29</t>
        </is>
      </c>
      <c r="E16" s="25" t="n"/>
      <c r="F16" s="6" t="inlineStr">
        <is>
          <t>see Gold 1995-2005</t>
        </is>
      </c>
      <c r="G16" s="22">
        <f>'Gold 1995-2005'!E20*$P$1</f>
        <v/>
      </c>
      <c r="H16" s="26" t="n">
        <v>8.98</v>
      </c>
      <c r="I16" s="16">
        <f>IF(11=INDEX('Bonds calculation'!$L$6:$L$40,MATCH(B16,'Bonds calculation'!$A$6:$A$40,0)),INDEX('Bonds calculation'!$G$6:$G$40,MATCH(B16,'Bonds calculation'!$A$6:$A$40,0)),0)</f>
        <v/>
      </c>
    </row>
    <row r="17">
      <c r="A17" s="6" t="inlineStr">
        <is>
          <t>1996-12</t>
        </is>
      </c>
      <c r="B17" s="6" t="n">
        <v>1996</v>
      </c>
      <c r="C17" s="27" t="n">
        <v>899.1</v>
      </c>
      <c r="D17" s="30" t="inlineStr">
        <is>
          <t>1996-12-31</t>
        </is>
      </c>
      <c r="E17" s="25" t="n"/>
      <c r="F17" s="6" t="inlineStr">
        <is>
          <t>see Gold 1995-2005</t>
        </is>
      </c>
      <c r="G17" s="22">
        <f>'Gold 1995-2005'!E21*$P$1</f>
        <v/>
      </c>
      <c r="H17" s="26" t="n">
        <v>8.98</v>
      </c>
      <c r="I17" s="16">
        <f>IF(12=INDEX('Bonds calculation'!$L$6:$L$40,MATCH(B17,'Bonds calculation'!$A$6:$A$40,0)),INDEX('Bonds calculation'!$G$6:$G$40,MATCH(B17,'Bonds calculation'!$A$6:$A$40,0)),0)</f>
        <v/>
      </c>
    </row>
    <row r="18">
      <c r="A18" s="6" t="inlineStr">
        <is>
          <t>1997-01</t>
        </is>
      </c>
      <c r="B18" s="6" t="n">
        <v>1997</v>
      </c>
      <c r="C18" s="27" t="n">
        <v>972.65</v>
      </c>
      <c r="D18" s="30" t="inlineStr">
        <is>
          <t>1997-01-31</t>
        </is>
      </c>
      <c r="E18" s="25" t="n"/>
      <c r="F18" s="6" t="inlineStr">
        <is>
          <t>see Gold 1995-2005</t>
        </is>
      </c>
      <c r="G18" s="22">
        <f>'Gold 1995-2005'!E22*$P$1</f>
        <v/>
      </c>
      <c r="H18" s="26" t="n">
        <v>7.16</v>
      </c>
      <c r="I18" s="16">
        <f>IF(1=INDEX('Bonds calculation'!$L$6:$L$40,MATCH(B18,'Bonds calculation'!$A$6:$A$40,0)),INDEX('Bonds calculation'!$G$6:$G$40,MATCH(B18,'Bonds calculation'!$A$6:$A$40,0)),0)</f>
        <v/>
      </c>
    </row>
    <row r="19">
      <c r="A19" s="6" t="inlineStr">
        <is>
          <t>1997-02</t>
        </is>
      </c>
      <c r="B19" s="6" t="n">
        <v>1997</v>
      </c>
      <c r="C19" s="27" t="n">
        <v>1053.55</v>
      </c>
      <c r="D19" s="30" t="inlineStr">
        <is>
          <t>1997-02-28</t>
        </is>
      </c>
      <c r="E19" s="25" t="n"/>
      <c r="F19" s="6" t="inlineStr">
        <is>
          <t>see Gold 1995-2005</t>
        </is>
      </c>
      <c r="G19" s="22">
        <f>'Gold 1995-2005'!E23*$P$1</f>
        <v/>
      </c>
      <c r="H19" s="26" t="n">
        <v>7.16</v>
      </c>
      <c r="I19" s="16">
        <f>IF(2=INDEX('Bonds calculation'!$L$6:$L$40,MATCH(B19,'Bonds calculation'!$A$6:$A$40,0)),INDEX('Bonds calculation'!$G$6:$G$40,MATCH(B19,'Bonds calculation'!$A$6:$A$40,0)),0)</f>
        <v/>
      </c>
      <c r="J19" s="6" t="inlineStr">
        <is>
          <t>Corrected: the API shows 998.65 under 1997-02-28 and the real Budget-day close 1053.55 under 1997-03-01 (+6.1% that day; Nifty 500 and the Nifty50 USD index show the same jump). 1053.55 is used.</t>
        </is>
      </c>
    </row>
    <row r="20">
      <c r="A20" s="6" t="inlineStr">
        <is>
          <t>1997-03</t>
        </is>
      </c>
      <c r="B20" s="6" t="n">
        <v>1997</v>
      </c>
      <c r="C20" s="27" t="n">
        <v>968.3</v>
      </c>
      <c r="D20" s="30" t="inlineStr">
        <is>
          <t>1997-03-31</t>
        </is>
      </c>
      <c r="E20" s="25" t="n"/>
      <c r="F20" s="6" t="inlineStr">
        <is>
          <t>see Gold 1995-2005</t>
        </is>
      </c>
      <c r="G20" s="22">
        <f>'Gold 1995-2005'!E24*$P$1</f>
        <v/>
      </c>
      <c r="H20" s="26" t="n">
        <v>7.16</v>
      </c>
      <c r="I20" s="16">
        <f>IF(3=INDEX('Bonds calculation'!$L$6:$L$40,MATCH(B20,'Bonds calculation'!$A$6:$A$40,0)),INDEX('Bonds calculation'!$G$6:$G$40,MATCH(B20,'Bonds calculation'!$A$6:$A$40,0)),0)</f>
        <v/>
      </c>
    </row>
    <row r="21">
      <c r="A21" s="6" t="inlineStr">
        <is>
          <t>1997-04</t>
        </is>
      </c>
      <c r="B21" s="6" t="n">
        <v>1997</v>
      </c>
      <c r="C21" s="27" t="n">
        <v>1079.85</v>
      </c>
      <c r="D21" s="30" t="inlineStr">
        <is>
          <t>1997-04-30</t>
        </is>
      </c>
      <c r="E21" s="25" t="n"/>
      <c r="F21" s="6" t="inlineStr">
        <is>
          <t>see Gold 1995-2005</t>
        </is>
      </c>
      <c r="G21" s="22">
        <f>'Gold 1995-2005'!E25*$P$1</f>
        <v/>
      </c>
      <c r="H21" s="26" t="n">
        <v>7.16</v>
      </c>
      <c r="I21" s="16">
        <f>IF(4=INDEX('Bonds calculation'!$L$6:$L$40,MATCH(B21,'Bonds calculation'!$A$6:$A$40,0)),INDEX('Bonds calculation'!$G$6:$G$40,MATCH(B21,'Bonds calculation'!$A$6:$A$40,0)),0)</f>
        <v/>
      </c>
    </row>
    <row r="22">
      <c r="A22" s="6" t="inlineStr">
        <is>
          <t>1997-05</t>
        </is>
      </c>
      <c r="B22" s="6" t="n">
        <v>1997</v>
      </c>
      <c r="C22" s="27" t="n">
        <v>1050.9</v>
      </c>
      <c r="D22" s="30" t="inlineStr">
        <is>
          <t>1997-05-30</t>
        </is>
      </c>
      <c r="E22" s="25" t="n"/>
      <c r="F22" s="6" t="inlineStr">
        <is>
          <t>see Gold 1995-2005</t>
        </is>
      </c>
      <c r="G22" s="22">
        <f>'Gold 1995-2005'!E26*$P$1</f>
        <v/>
      </c>
      <c r="H22" s="26" t="n">
        <v>7.16</v>
      </c>
      <c r="I22" s="16">
        <f>IF(5=INDEX('Bonds calculation'!$L$6:$L$40,MATCH(B22,'Bonds calculation'!$A$6:$A$40,0)),INDEX('Bonds calculation'!$G$6:$G$40,MATCH(B22,'Bonds calculation'!$A$6:$A$40,0)),0)</f>
        <v/>
      </c>
    </row>
    <row r="23">
      <c r="A23" s="6" t="inlineStr">
        <is>
          <t>1997-06</t>
        </is>
      </c>
      <c r="B23" s="6" t="n">
        <v>1997</v>
      </c>
      <c r="C23" s="27" t="n">
        <v>1192.4</v>
      </c>
      <c r="D23" s="30" t="inlineStr">
        <is>
          <t>1997-06-30</t>
        </is>
      </c>
      <c r="E23" s="25" t="n"/>
      <c r="F23" s="6" t="inlineStr">
        <is>
          <t>see Gold 1995-2005</t>
        </is>
      </c>
      <c r="G23" s="22">
        <f>'Gold 1995-2005'!E27*$P$1</f>
        <v/>
      </c>
      <c r="H23" s="26" t="n">
        <v>7.16</v>
      </c>
      <c r="I23" s="16">
        <f>IF(6=INDEX('Bonds calculation'!$L$6:$L$40,MATCH(B23,'Bonds calculation'!$A$6:$A$40,0)),INDEX('Bonds calculation'!$G$6:$G$40,MATCH(B23,'Bonds calculation'!$A$6:$A$40,0)),0)</f>
        <v/>
      </c>
    </row>
    <row r="24">
      <c r="A24" s="6" t="inlineStr">
        <is>
          <t>1997-07</t>
        </is>
      </c>
      <c r="B24" s="6" t="n">
        <v>1997</v>
      </c>
      <c r="C24" s="27" t="n">
        <v>1222</v>
      </c>
      <c r="D24" s="30" t="inlineStr">
        <is>
          <t>1997-07-31</t>
        </is>
      </c>
      <c r="E24" s="25" t="n"/>
      <c r="F24" s="6" t="inlineStr">
        <is>
          <t>see Gold 1995-2005</t>
        </is>
      </c>
      <c r="G24" s="22">
        <f>'Gold 1995-2005'!E28*$P$1</f>
        <v/>
      </c>
      <c r="H24" s="26" t="n">
        <v>7.16</v>
      </c>
      <c r="I24" s="16">
        <f>IF(7=INDEX('Bonds calculation'!$L$6:$L$40,MATCH(B24,'Bonds calculation'!$A$6:$A$40,0)),INDEX('Bonds calculation'!$G$6:$G$40,MATCH(B24,'Bonds calculation'!$A$6:$A$40,0)),0)</f>
        <v/>
      </c>
    </row>
    <row r="25">
      <c r="A25" s="6" t="inlineStr">
        <is>
          <t>1997-08</t>
        </is>
      </c>
      <c r="B25" s="6" t="n">
        <v>1997</v>
      </c>
      <c r="C25" s="27" t="n">
        <v>1105</v>
      </c>
      <c r="D25" s="30" t="inlineStr">
        <is>
          <t>1997-08-29</t>
        </is>
      </c>
      <c r="E25" s="25" t="n"/>
      <c r="F25" s="6" t="inlineStr">
        <is>
          <t>see Gold 1995-2005</t>
        </is>
      </c>
      <c r="G25" s="22">
        <f>'Gold 1995-2005'!E29*$P$1</f>
        <v/>
      </c>
      <c r="H25" s="26" t="n">
        <v>7.16</v>
      </c>
      <c r="I25" s="16">
        <f>IF(8=INDEX('Bonds calculation'!$L$6:$L$40,MATCH(B25,'Bonds calculation'!$A$6:$A$40,0)),INDEX('Bonds calculation'!$G$6:$G$40,MATCH(B25,'Bonds calculation'!$A$6:$A$40,0)),0)</f>
        <v/>
      </c>
    </row>
    <row r="26">
      <c r="A26" s="6" t="inlineStr">
        <is>
          <t>1997-09</t>
        </is>
      </c>
      <c r="B26" s="6" t="n">
        <v>1997</v>
      </c>
      <c r="C26" s="27" t="n">
        <v>1124</v>
      </c>
      <c r="D26" s="30" t="inlineStr">
        <is>
          <t>1997-09-30</t>
        </is>
      </c>
      <c r="E26" s="25" t="n"/>
      <c r="F26" s="6" t="inlineStr">
        <is>
          <t>see Gold 1995-2005</t>
        </is>
      </c>
      <c r="G26" s="22">
        <f>'Gold 1995-2005'!E30*$P$1</f>
        <v/>
      </c>
      <c r="H26" s="26" t="n">
        <v>7.16</v>
      </c>
      <c r="I26" s="16">
        <f>IF(9=INDEX('Bonds calculation'!$L$6:$L$40,MATCH(B26,'Bonds calculation'!$A$6:$A$40,0)),INDEX('Bonds calculation'!$G$6:$G$40,MATCH(B26,'Bonds calculation'!$A$6:$A$40,0)),0)</f>
        <v/>
      </c>
    </row>
    <row r="27">
      <c r="A27" s="6" t="inlineStr">
        <is>
          <t>1997-10</t>
        </is>
      </c>
      <c r="B27" s="6" t="n">
        <v>1997</v>
      </c>
      <c r="C27" s="27" t="n">
        <v>1085.25</v>
      </c>
      <c r="D27" s="30" t="inlineStr">
        <is>
          <t>1997-10-30</t>
        </is>
      </c>
      <c r="E27" s="25" t="n"/>
      <c r="F27" s="6" t="inlineStr">
        <is>
          <t>see Gold 1995-2005</t>
        </is>
      </c>
      <c r="G27" s="22">
        <f>'Gold 1995-2005'!E31*$P$1</f>
        <v/>
      </c>
      <c r="H27" s="26" t="n">
        <v>7.16</v>
      </c>
      <c r="I27" s="16">
        <f>IF(10=INDEX('Bonds calculation'!$L$6:$L$40,MATCH(B27,'Bonds calculation'!$A$6:$A$40,0)),INDEX('Bonds calculation'!$G$6:$G$40,MATCH(B27,'Bonds calculation'!$A$6:$A$40,0)),0)</f>
        <v/>
      </c>
    </row>
    <row r="28">
      <c r="A28" s="6" t="inlineStr">
        <is>
          <t>1997-11</t>
        </is>
      </c>
      <c r="B28" s="6" t="n">
        <v>1997</v>
      </c>
      <c r="C28" s="27" t="n">
        <v>1023.95</v>
      </c>
      <c r="D28" s="30" t="inlineStr">
        <is>
          <t>1997-11-28</t>
        </is>
      </c>
      <c r="E28" s="25" t="n"/>
      <c r="F28" s="6" t="inlineStr">
        <is>
          <t>see Gold 1995-2005</t>
        </is>
      </c>
      <c r="G28" s="22">
        <f>'Gold 1995-2005'!E32*$P$1</f>
        <v/>
      </c>
      <c r="H28" s="26" t="n">
        <v>7.16</v>
      </c>
      <c r="I28" s="16">
        <f>IF(11=INDEX('Bonds calculation'!$L$6:$L$40,MATCH(B28,'Bonds calculation'!$A$6:$A$40,0)),INDEX('Bonds calculation'!$G$6:$G$40,MATCH(B28,'Bonds calculation'!$A$6:$A$40,0)),0)</f>
        <v/>
      </c>
    </row>
    <row r="29">
      <c r="A29" s="6" t="inlineStr">
        <is>
          <t>1997-12</t>
        </is>
      </c>
      <c r="B29" s="6" t="n">
        <v>1997</v>
      </c>
      <c r="C29" s="27" t="n">
        <v>1079.4</v>
      </c>
      <c r="D29" s="30" t="inlineStr">
        <is>
          <t>1997-12-31</t>
        </is>
      </c>
      <c r="E29" s="25" t="n"/>
      <c r="F29" s="6" t="inlineStr">
        <is>
          <t>see Gold 1995-2005</t>
        </is>
      </c>
      <c r="G29" s="22">
        <f>'Gold 1995-2005'!E33*$P$1</f>
        <v/>
      </c>
      <c r="H29" s="26" t="n">
        <v>7.16</v>
      </c>
      <c r="I29" s="16">
        <f>IF(12=INDEX('Bonds calculation'!$L$6:$L$40,MATCH(B29,'Bonds calculation'!$A$6:$A$40,0)),INDEX('Bonds calculation'!$G$6:$G$40,MATCH(B29,'Bonds calculation'!$A$6:$A$40,0)),0)</f>
        <v/>
      </c>
    </row>
    <row r="30">
      <c r="A30" s="6" t="inlineStr">
        <is>
          <t>1998-01</t>
        </is>
      </c>
      <c r="B30" s="6" t="n">
        <v>1998</v>
      </c>
      <c r="C30" s="27" t="n">
        <v>963.45</v>
      </c>
      <c r="D30" s="30" t="inlineStr">
        <is>
          <t>1998-01-30</t>
        </is>
      </c>
      <c r="E30" s="25" t="n"/>
      <c r="F30" s="6" t="inlineStr">
        <is>
          <t>see Gold 1995-2005</t>
        </is>
      </c>
      <c r="G30" s="22">
        <f>'Gold 1995-2005'!E34*$P$1</f>
        <v/>
      </c>
      <c r="H30" s="26" t="n">
        <v>13.23</v>
      </c>
      <c r="I30" s="16">
        <f>IF(1=INDEX('Bonds calculation'!$L$6:$L$40,MATCH(B30,'Bonds calculation'!$A$6:$A$40,0)),INDEX('Bonds calculation'!$G$6:$G$40,MATCH(B30,'Bonds calculation'!$A$6:$A$40,0)),0)</f>
        <v/>
      </c>
    </row>
    <row r="31">
      <c r="A31" s="6" t="inlineStr">
        <is>
          <t>1998-02</t>
        </is>
      </c>
      <c r="B31" s="6" t="n">
        <v>1998</v>
      </c>
      <c r="C31" s="27" t="n">
        <v>1060.75</v>
      </c>
      <c r="D31" s="30" t="inlineStr">
        <is>
          <t>1998-02-27</t>
        </is>
      </c>
      <c r="E31" s="25" t="n"/>
      <c r="F31" s="6" t="inlineStr">
        <is>
          <t>see Gold 1995-2005</t>
        </is>
      </c>
      <c r="G31" s="22">
        <f>'Gold 1995-2005'!E35*$P$1</f>
        <v/>
      </c>
      <c r="H31" s="26" t="n">
        <v>13.23</v>
      </c>
      <c r="I31" s="16">
        <f>IF(2=INDEX('Bonds calculation'!$L$6:$L$40,MATCH(B31,'Bonds calculation'!$A$6:$A$40,0)),INDEX('Bonds calculation'!$G$6:$G$40,MATCH(B31,'Bonds calculation'!$A$6:$A$40,0)),0)</f>
        <v/>
      </c>
    </row>
    <row r="32">
      <c r="A32" s="6" t="inlineStr">
        <is>
          <t>1998-03</t>
        </is>
      </c>
      <c r="B32" s="6" t="n">
        <v>1998</v>
      </c>
      <c r="C32" s="27" t="n">
        <v>1116.9</v>
      </c>
      <c r="D32" s="30" t="inlineStr">
        <is>
          <t>1998-03-31</t>
        </is>
      </c>
      <c r="E32" s="25" t="n"/>
      <c r="F32" s="6" t="inlineStr">
        <is>
          <t>see Gold 1995-2005</t>
        </is>
      </c>
      <c r="G32" s="22">
        <f>'Gold 1995-2005'!E36*$P$1</f>
        <v/>
      </c>
      <c r="H32" s="26" t="n">
        <v>13.23</v>
      </c>
      <c r="I32" s="16">
        <f>IF(3=INDEX('Bonds calculation'!$L$6:$L$40,MATCH(B32,'Bonds calculation'!$A$6:$A$40,0)),INDEX('Bonds calculation'!$G$6:$G$40,MATCH(B32,'Bonds calculation'!$A$6:$A$40,0)),0)</f>
        <v/>
      </c>
    </row>
    <row r="33">
      <c r="A33" s="6" t="inlineStr">
        <is>
          <t>1998-04</t>
        </is>
      </c>
      <c r="B33" s="6" t="n">
        <v>1998</v>
      </c>
      <c r="C33" s="27" t="n">
        <v>1159.35</v>
      </c>
      <c r="D33" s="30" t="inlineStr">
        <is>
          <t>1998-04-30</t>
        </is>
      </c>
      <c r="E33" s="25" t="n"/>
      <c r="F33" s="6" t="inlineStr">
        <is>
          <t>see Gold 1995-2005</t>
        </is>
      </c>
      <c r="G33" s="22">
        <f>'Gold 1995-2005'!E37*$P$1</f>
        <v/>
      </c>
      <c r="H33" s="26" t="n">
        <v>13.23</v>
      </c>
      <c r="I33" s="16">
        <f>IF(4=INDEX('Bonds calculation'!$L$6:$L$40,MATCH(B33,'Bonds calculation'!$A$6:$A$40,0)),INDEX('Bonds calculation'!$G$6:$G$40,MATCH(B33,'Bonds calculation'!$A$6:$A$40,0)),0)</f>
        <v/>
      </c>
    </row>
    <row r="34">
      <c r="A34" s="6" t="inlineStr">
        <is>
          <t>1998-05</t>
        </is>
      </c>
      <c r="B34" s="6" t="n">
        <v>1998</v>
      </c>
      <c r="C34" s="27" t="n">
        <v>1063.15</v>
      </c>
      <c r="D34" s="30" t="inlineStr">
        <is>
          <t>1998-05-29</t>
        </is>
      </c>
      <c r="E34" s="25" t="n"/>
      <c r="F34" s="6" t="inlineStr">
        <is>
          <t>see Gold 1995-2005</t>
        </is>
      </c>
      <c r="G34" s="22">
        <f>'Gold 1995-2005'!E38*$P$1</f>
        <v/>
      </c>
      <c r="H34" s="26" t="n">
        <v>13.23</v>
      </c>
      <c r="I34" s="16">
        <f>IF(5=INDEX('Bonds calculation'!$L$6:$L$40,MATCH(B34,'Bonds calculation'!$A$6:$A$40,0)),INDEX('Bonds calculation'!$G$6:$G$40,MATCH(B34,'Bonds calculation'!$A$6:$A$40,0)),0)</f>
        <v/>
      </c>
    </row>
    <row r="35">
      <c r="A35" s="6" t="inlineStr">
        <is>
          <t>1998-06</t>
        </is>
      </c>
      <c r="B35" s="6" t="n">
        <v>1998</v>
      </c>
      <c r="C35" s="27" t="n">
        <v>941.65</v>
      </c>
      <c r="D35" s="30" t="inlineStr">
        <is>
          <t>1998-06-30</t>
        </is>
      </c>
      <c r="E35" s="25" t="n"/>
      <c r="F35" s="6" t="inlineStr">
        <is>
          <t>see Gold 1995-2005</t>
        </is>
      </c>
      <c r="G35" s="22">
        <f>'Gold 1995-2005'!E39*$P$1</f>
        <v/>
      </c>
      <c r="H35" s="26" t="n">
        <v>13.23</v>
      </c>
      <c r="I35" s="16">
        <f>IF(6=INDEX('Bonds calculation'!$L$6:$L$40,MATCH(B35,'Bonds calculation'!$A$6:$A$40,0)),INDEX('Bonds calculation'!$G$6:$G$40,MATCH(B35,'Bonds calculation'!$A$6:$A$40,0)),0)</f>
        <v/>
      </c>
    </row>
    <row r="36">
      <c r="A36" s="6" t="inlineStr">
        <is>
          <t>1998-07</t>
        </is>
      </c>
      <c r="B36" s="6" t="n">
        <v>1998</v>
      </c>
      <c r="C36" s="27" t="n">
        <v>931.4</v>
      </c>
      <c r="D36" s="30" t="inlineStr">
        <is>
          <t>1998-07-31</t>
        </is>
      </c>
      <c r="E36" s="25" t="n"/>
      <c r="F36" s="6" t="inlineStr">
        <is>
          <t>see Gold 1995-2005</t>
        </is>
      </c>
      <c r="G36" s="22">
        <f>'Gold 1995-2005'!E40*$P$1</f>
        <v/>
      </c>
      <c r="H36" s="26" t="n">
        <v>13.23</v>
      </c>
      <c r="I36" s="16">
        <f>IF(7=INDEX('Bonds calculation'!$L$6:$L$40,MATCH(B36,'Bonds calculation'!$A$6:$A$40,0)),INDEX('Bonds calculation'!$G$6:$G$40,MATCH(B36,'Bonds calculation'!$A$6:$A$40,0)),0)</f>
        <v/>
      </c>
    </row>
    <row r="37">
      <c r="A37" s="6" t="inlineStr">
        <is>
          <t>1998-08</t>
        </is>
      </c>
      <c r="B37" s="6" t="n">
        <v>1998</v>
      </c>
      <c r="C37" s="27" t="n">
        <v>852.8</v>
      </c>
      <c r="D37" s="30" t="inlineStr">
        <is>
          <t>1998-08-31</t>
        </is>
      </c>
      <c r="E37" s="25" t="n"/>
      <c r="F37" s="6" t="inlineStr">
        <is>
          <t>see Gold 1995-2005</t>
        </is>
      </c>
      <c r="G37" s="22">
        <f>'Gold 1995-2005'!E41*$P$1</f>
        <v/>
      </c>
      <c r="H37" s="26" t="n">
        <v>13.23</v>
      </c>
      <c r="I37" s="16">
        <f>IF(8=INDEX('Bonds calculation'!$L$6:$L$40,MATCH(B37,'Bonds calculation'!$A$6:$A$40,0)),INDEX('Bonds calculation'!$G$6:$G$40,MATCH(B37,'Bonds calculation'!$A$6:$A$40,0)),0)</f>
        <v/>
      </c>
    </row>
    <row r="38">
      <c r="A38" s="6" t="inlineStr">
        <is>
          <t>1998-09</t>
        </is>
      </c>
      <c r="B38" s="6" t="n">
        <v>1998</v>
      </c>
      <c r="C38" s="27" t="n">
        <v>904.95</v>
      </c>
      <c r="D38" s="30" t="inlineStr">
        <is>
          <t>1998-09-30</t>
        </is>
      </c>
      <c r="E38" s="25" t="n"/>
      <c r="F38" s="6" t="inlineStr">
        <is>
          <t>see Gold 1995-2005</t>
        </is>
      </c>
      <c r="G38" s="22">
        <f>'Gold 1995-2005'!E42*$P$1</f>
        <v/>
      </c>
      <c r="H38" s="26" t="n">
        <v>13.23</v>
      </c>
      <c r="I38" s="16">
        <f>IF(9=INDEX('Bonds calculation'!$L$6:$L$40,MATCH(B38,'Bonds calculation'!$A$6:$A$40,0)),INDEX('Bonds calculation'!$G$6:$G$40,MATCH(B38,'Bonds calculation'!$A$6:$A$40,0)),0)</f>
        <v/>
      </c>
    </row>
    <row r="39">
      <c r="A39" s="6" t="inlineStr">
        <is>
          <t>1998-10</t>
        </is>
      </c>
      <c r="B39" s="6" t="n">
        <v>1998</v>
      </c>
      <c r="C39" s="27" t="n">
        <v>824</v>
      </c>
      <c r="D39" s="30" t="inlineStr">
        <is>
          <t>1998-10-31</t>
        </is>
      </c>
      <c r="E39" s="25" t="n"/>
      <c r="F39" s="6" t="inlineStr">
        <is>
          <t>see Gold 1995-2005</t>
        </is>
      </c>
      <c r="G39" s="22">
        <f>'Gold 1995-2005'!E43*$P$1</f>
        <v/>
      </c>
      <c r="H39" s="26" t="n">
        <v>13.23</v>
      </c>
      <c r="I39" s="16">
        <f>IF(10=INDEX('Bonds calculation'!$L$6:$L$40,MATCH(B39,'Bonds calculation'!$A$6:$A$40,0)),INDEX('Bonds calculation'!$G$6:$G$40,MATCH(B39,'Bonds calculation'!$A$6:$A$40,0)),0)</f>
        <v/>
      </c>
    </row>
    <row r="40">
      <c r="A40" s="6" t="inlineStr">
        <is>
          <t>1998-11</t>
        </is>
      </c>
      <c r="B40" s="6" t="n">
        <v>1998</v>
      </c>
      <c r="C40" s="27" t="n">
        <v>817.75</v>
      </c>
      <c r="D40" s="30" t="inlineStr">
        <is>
          <t>1998-11-30</t>
        </is>
      </c>
      <c r="E40" s="25" t="n"/>
      <c r="F40" s="6" t="inlineStr">
        <is>
          <t>see Gold 1995-2005</t>
        </is>
      </c>
      <c r="G40" s="22">
        <f>'Gold 1995-2005'!E44*$P$1</f>
        <v/>
      </c>
      <c r="H40" s="26" t="n">
        <v>13.23</v>
      </c>
      <c r="I40" s="16">
        <f>IF(11=INDEX('Bonds calculation'!$L$6:$L$40,MATCH(B40,'Bonds calculation'!$A$6:$A$40,0)),INDEX('Bonds calculation'!$G$6:$G$40,MATCH(B40,'Bonds calculation'!$A$6:$A$40,0)),0)</f>
        <v/>
      </c>
    </row>
    <row r="41">
      <c r="A41" s="6" t="inlineStr">
        <is>
          <t>1998-12</t>
        </is>
      </c>
      <c r="B41" s="6" t="n">
        <v>1998</v>
      </c>
      <c r="C41" s="27" t="n">
        <v>884.25</v>
      </c>
      <c r="D41" s="30" t="inlineStr">
        <is>
          <t>1998-12-31</t>
        </is>
      </c>
      <c r="E41" s="25" t="n"/>
      <c r="F41" s="6" t="inlineStr">
        <is>
          <t>see Gold 1995-2005</t>
        </is>
      </c>
      <c r="G41" s="22">
        <f>'Gold 1995-2005'!E45*$P$1</f>
        <v/>
      </c>
      <c r="H41" s="26" t="n">
        <v>13.23</v>
      </c>
      <c r="I41" s="16">
        <f>IF(12=INDEX('Bonds calculation'!$L$6:$L$40,MATCH(B41,'Bonds calculation'!$A$6:$A$40,0)),INDEX('Bonds calculation'!$G$6:$G$40,MATCH(B41,'Bonds calculation'!$A$6:$A$40,0)),0)</f>
        <v/>
      </c>
    </row>
    <row r="42">
      <c r="A42" s="6" t="inlineStr">
        <is>
          <t>1999-01</t>
        </is>
      </c>
      <c r="B42" s="6" t="n">
        <v>1999</v>
      </c>
      <c r="C42" s="27" t="n">
        <v>966.2</v>
      </c>
      <c r="D42" s="30" t="inlineStr">
        <is>
          <t>1999-01-29</t>
        </is>
      </c>
      <c r="E42" s="25" t="n"/>
      <c r="F42" s="6" t="inlineStr">
        <is>
          <t>see Gold 1995-2005</t>
        </is>
      </c>
      <c r="G42" s="22">
        <f>'Gold 1995-2005'!E46*$P$1</f>
        <v/>
      </c>
      <c r="H42" s="26" t="n">
        <v>4.67</v>
      </c>
      <c r="I42" s="16">
        <f>IF(1=INDEX('Bonds calculation'!$L$6:$L$40,MATCH(B42,'Bonds calculation'!$A$6:$A$40,0)),INDEX('Bonds calculation'!$G$6:$G$40,MATCH(B42,'Bonds calculation'!$A$6:$A$40,0)),0)</f>
        <v/>
      </c>
    </row>
    <row r="43">
      <c r="A43" s="6" t="inlineStr">
        <is>
          <t>1999-02</t>
        </is>
      </c>
      <c r="B43" s="6" t="n">
        <v>1999</v>
      </c>
      <c r="C43" s="27" t="n">
        <v>981.3</v>
      </c>
      <c r="D43" s="30" t="inlineStr">
        <is>
          <t>1999-02-27</t>
        </is>
      </c>
      <c r="E43" s="25" t="n"/>
      <c r="F43" s="6" t="inlineStr">
        <is>
          <t>see Gold 1995-2005</t>
        </is>
      </c>
      <c r="G43" s="22">
        <f>'Gold 1995-2005'!E47*$P$1</f>
        <v/>
      </c>
      <c r="H43" s="26" t="n">
        <v>4.67</v>
      </c>
      <c r="I43" s="16">
        <f>IF(2=INDEX('Bonds calculation'!$L$6:$L$40,MATCH(B43,'Bonds calculation'!$A$6:$A$40,0)),INDEX('Bonds calculation'!$G$6:$G$40,MATCH(B43,'Bonds calculation'!$A$6:$A$40,0)),0)</f>
        <v/>
      </c>
    </row>
    <row r="44">
      <c r="A44" s="6" t="inlineStr">
        <is>
          <t>1999-03</t>
        </is>
      </c>
      <c r="B44" s="6" t="n">
        <v>1999</v>
      </c>
      <c r="C44" s="27" t="n">
        <v>1078.05</v>
      </c>
      <c r="D44" s="30" t="inlineStr">
        <is>
          <t>1999-03-31</t>
        </is>
      </c>
      <c r="E44" s="25" t="n"/>
      <c r="F44" s="6" t="inlineStr">
        <is>
          <t>see Gold 1995-2005</t>
        </is>
      </c>
      <c r="G44" s="22">
        <f>'Gold 1995-2005'!E48*$P$1</f>
        <v/>
      </c>
      <c r="H44" s="26" t="n">
        <v>4.67</v>
      </c>
      <c r="I44" s="16">
        <f>IF(3=INDEX('Bonds calculation'!$L$6:$L$40,MATCH(B44,'Bonds calculation'!$A$6:$A$40,0)),INDEX('Bonds calculation'!$G$6:$G$40,MATCH(B44,'Bonds calculation'!$A$6:$A$40,0)),0)</f>
        <v/>
      </c>
    </row>
    <row r="45">
      <c r="A45" s="6" t="inlineStr">
        <is>
          <t>1999-04</t>
        </is>
      </c>
      <c r="B45" s="6" t="n">
        <v>1999</v>
      </c>
      <c r="C45" s="27" t="n">
        <v>978.2</v>
      </c>
      <c r="D45" s="30" t="inlineStr">
        <is>
          <t>1999-04-30</t>
        </is>
      </c>
      <c r="E45" s="25" t="n"/>
      <c r="F45" s="6" t="inlineStr">
        <is>
          <t>see Gold 1995-2005</t>
        </is>
      </c>
      <c r="G45" s="22">
        <f>'Gold 1995-2005'!E49*$P$1</f>
        <v/>
      </c>
      <c r="H45" s="26" t="n">
        <v>4.67</v>
      </c>
      <c r="I45" s="16">
        <f>IF(4=INDEX('Bonds calculation'!$L$6:$L$40,MATCH(B45,'Bonds calculation'!$A$6:$A$40,0)),INDEX('Bonds calculation'!$G$6:$G$40,MATCH(B45,'Bonds calculation'!$A$6:$A$40,0)),0)</f>
        <v/>
      </c>
    </row>
    <row r="46">
      <c r="A46" s="6" t="inlineStr">
        <is>
          <t>1999-05</t>
        </is>
      </c>
      <c r="B46" s="6" t="n">
        <v>1999</v>
      </c>
      <c r="C46" s="27" t="n">
        <v>1132.3</v>
      </c>
      <c r="D46" s="30" t="inlineStr">
        <is>
          <t>1999-05-31</t>
        </is>
      </c>
      <c r="E46" s="25" t="n"/>
      <c r="F46" s="6" t="inlineStr">
        <is>
          <t>see Gold 1995-2005</t>
        </is>
      </c>
      <c r="G46" s="22">
        <f>'Gold 1995-2005'!E50*$P$1</f>
        <v/>
      </c>
      <c r="H46" s="26" t="n">
        <v>4.67</v>
      </c>
      <c r="I46" s="16">
        <f>IF(5=INDEX('Bonds calculation'!$L$6:$L$40,MATCH(B46,'Bonds calculation'!$A$6:$A$40,0)),INDEX('Bonds calculation'!$G$6:$G$40,MATCH(B46,'Bonds calculation'!$A$6:$A$40,0)),0)</f>
        <v/>
      </c>
    </row>
    <row r="47">
      <c r="A47" s="6" t="inlineStr">
        <is>
          <t>1999-06</t>
        </is>
      </c>
      <c r="B47" s="6" t="n">
        <v>1999</v>
      </c>
      <c r="C47" s="27" t="n">
        <v>1187.7</v>
      </c>
      <c r="D47" s="30" t="inlineStr">
        <is>
          <t>1999-06-30</t>
        </is>
      </c>
      <c r="E47" s="25" t="n"/>
      <c r="F47" s="6" t="inlineStr">
        <is>
          <t>see Gold 1995-2005</t>
        </is>
      </c>
      <c r="G47" s="22">
        <f>'Gold 1995-2005'!E51*$P$1</f>
        <v/>
      </c>
      <c r="H47" s="26" t="n">
        <v>4.67</v>
      </c>
      <c r="I47" s="16">
        <f>IF(6=INDEX('Bonds calculation'!$L$6:$L$40,MATCH(B47,'Bonds calculation'!$A$6:$A$40,0)),INDEX('Bonds calculation'!$G$6:$G$40,MATCH(B47,'Bonds calculation'!$A$6:$A$40,0)),0)</f>
        <v/>
      </c>
    </row>
    <row r="48">
      <c r="A48" s="6" t="inlineStr">
        <is>
          <t>1999-07</t>
        </is>
      </c>
      <c r="B48" s="6" t="n">
        <v>1999</v>
      </c>
      <c r="C48" s="27" t="n">
        <v>1310.15</v>
      </c>
      <c r="D48" s="30" t="inlineStr">
        <is>
          <t>1999-07-30</t>
        </is>
      </c>
      <c r="E48" s="25" t="n"/>
      <c r="F48" s="6" t="inlineStr">
        <is>
          <t>see Gold 1995-2005</t>
        </is>
      </c>
      <c r="G48" s="22">
        <f>'Gold 1995-2005'!E52*$P$1</f>
        <v/>
      </c>
      <c r="H48" s="26" t="n">
        <v>4.67</v>
      </c>
      <c r="I48" s="16">
        <f>IF(7=INDEX('Bonds calculation'!$L$6:$L$40,MATCH(B48,'Bonds calculation'!$A$6:$A$40,0)),INDEX('Bonds calculation'!$G$6:$G$40,MATCH(B48,'Bonds calculation'!$A$6:$A$40,0)),0)</f>
        <v/>
      </c>
    </row>
    <row r="49">
      <c r="A49" s="6" t="inlineStr">
        <is>
          <t>1999-08</t>
        </is>
      </c>
      <c r="B49" s="6" t="n">
        <v>1999</v>
      </c>
      <c r="C49" s="27" t="n">
        <v>1412</v>
      </c>
      <c r="D49" s="30" t="inlineStr">
        <is>
          <t>1999-08-31</t>
        </is>
      </c>
      <c r="E49" s="25" t="n"/>
      <c r="F49" s="6" t="inlineStr">
        <is>
          <t>see Gold 1995-2005</t>
        </is>
      </c>
      <c r="G49" s="22">
        <f>'Gold 1995-2005'!E53*$P$1</f>
        <v/>
      </c>
      <c r="H49" s="26" t="n">
        <v>4.67</v>
      </c>
      <c r="I49" s="16">
        <f>IF(8=INDEX('Bonds calculation'!$L$6:$L$40,MATCH(B49,'Bonds calculation'!$A$6:$A$40,0)),INDEX('Bonds calculation'!$G$6:$G$40,MATCH(B49,'Bonds calculation'!$A$6:$A$40,0)),0)</f>
        <v/>
      </c>
    </row>
    <row r="50">
      <c r="A50" s="6" t="inlineStr">
        <is>
          <t>1999-09</t>
        </is>
      </c>
      <c r="B50" s="6" t="n">
        <v>1999</v>
      </c>
      <c r="C50" s="27" t="n">
        <v>1413.1</v>
      </c>
      <c r="D50" s="30" t="inlineStr">
        <is>
          <t>1999-09-30</t>
        </is>
      </c>
      <c r="E50" s="25" t="n"/>
      <c r="F50" s="6" t="inlineStr">
        <is>
          <t>see Gold 1995-2005</t>
        </is>
      </c>
      <c r="G50" s="22">
        <f>'Gold 1995-2005'!E54*$P$1</f>
        <v/>
      </c>
      <c r="H50" s="26" t="n">
        <v>4.67</v>
      </c>
      <c r="I50" s="16">
        <f>IF(9=INDEX('Bonds calculation'!$L$6:$L$40,MATCH(B50,'Bonds calculation'!$A$6:$A$40,0)),INDEX('Bonds calculation'!$G$6:$G$40,MATCH(B50,'Bonds calculation'!$A$6:$A$40,0)),0)</f>
        <v/>
      </c>
    </row>
    <row r="51">
      <c r="A51" s="6" t="inlineStr">
        <is>
          <t>1999-10</t>
        </is>
      </c>
      <c r="B51" s="6" t="n">
        <v>1999</v>
      </c>
      <c r="C51" s="27" t="n">
        <v>1325.45</v>
      </c>
      <c r="D51" s="30" t="inlineStr">
        <is>
          <t>1999-10-29</t>
        </is>
      </c>
      <c r="E51" s="25" t="n"/>
      <c r="F51" s="6" t="inlineStr">
        <is>
          <t>see Gold 1995-2005</t>
        </is>
      </c>
      <c r="G51" s="22">
        <f>'Gold 1995-2005'!E55*$P$1</f>
        <v/>
      </c>
      <c r="H51" s="26" t="n">
        <v>4.67</v>
      </c>
      <c r="I51" s="16">
        <f>IF(10=INDEX('Bonds calculation'!$L$6:$L$40,MATCH(B51,'Bonds calculation'!$A$6:$A$40,0)),INDEX('Bonds calculation'!$G$6:$G$40,MATCH(B51,'Bonds calculation'!$A$6:$A$40,0)),0)</f>
        <v/>
      </c>
    </row>
    <row r="52">
      <c r="A52" s="6" t="inlineStr">
        <is>
          <t>1999-11</t>
        </is>
      </c>
      <c r="B52" s="6" t="n">
        <v>1999</v>
      </c>
      <c r="C52" s="27" t="n">
        <v>1376.15</v>
      </c>
      <c r="D52" s="30" t="inlineStr">
        <is>
          <t>1999-11-30</t>
        </is>
      </c>
      <c r="E52" s="25" t="n"/>
      <c r="F52" s="6" t="inlineStr">
        <is>
          <t>see Gold 1995-2005</t>
        </is>
      </c>
      <c r="G52" s="22">
        <f>'Gold 1995-2005'!E56*$P$1</f>
        <v/>
      </c>
      <c r="H52" s="26" t="n">
        <v>4.67</v>
      </c>
      <c r="I52" s="16">
        <f>IF(11=INDEX('Bonds calculation'!$L$6:$L$40,MATCH(B52,'Bonds calculation'!$A$6:$A$40,0)),INDEX('Bonds calculation'!$G$6:$G$40,MATCH(B52,'Bonds calculation'!$A$6:$A$40,0)),0)</f>
        <v/>
      </c>
    </row>
    <row r="53">
      <c r="A53" s="6" t="inlineStr">
        <is>
          <t>1999-12</t>
        </is>
      </c>
      <c r="B53" s="6" t="n">
        <v>1999</v>
      </c>
      <c r="C53" s="27" t="n">
        <v>1480.45</v>
      </c>
      <c r="D53" s="30" t="inlineStr">
        <is>
          <t>1999-12-30</t>
        </is>
      </c>
      <c r="E53" s="25" t="n"/>
      <c r="F53" s="6" t="inlineStr">
        <is>
          <t>see Gold 1995-2005</t>
        </is>
      </c>
      <c r="G53" s="22">
        <f>'Gold 1995-2005'!E57*$P$1</f>
        <v/>
      </c>
      <c r="H53" s="26" t="n">
        <v>4.67</v>
      </c>
      <c r="I53" s="16">
        <f>IF(12=INDEX('Bonds calculation'!$L$6:$L$40,MATCH(B53,'Bonds calculation'!$A$6:$A$40,0)),INDEX('Bonds calculation'!$G$6:$G$40,MATCH(B53,'Bonds calculation'!$A$6:$A$40,0)),0)</f>
        <v/>
      </c>
    </row>
    <row r="54">
      <c r="A54" s="6" t="inlineStr">
        <is>
          <t>2000-01</t>
        </is>
      </c>
      <c r="B54" s="6" t="n">
        <v>2000</v>
      </c>
      <c r="C54" s="27" t="n">
        <v>1546.2</v>
      </c>
      <c r="D54" s="30" t="inlineStr">
        <is>
          <t>2000-01-31</t>
        </is>
      </c>
      <c r="E54" s="25" t="n"/>
      <c r="F54" s="6" t="inlineStr">
        <is>
          <t>see Gold 1995-2005</t>
        </is>
      </c>
      <c r="G54" s="22">
        <f>'Gold 1995-2005'!E58*$P$1</f>
        <v/>
      </c>
      <c r="H54" s="26" t="n">
        <v>4.01</v>
      </c>
      <c r="I54" s="16">
        <f>IF(1=INDEX('Bonds calculation'!$L$6:$L$40,MATCH(B54,'Bonds calculation'!$A$6:$A$40,0)),INDEX('Bonds calculation'!$G$6:$G$40,MATCH(B54,'Bonds calculation'!$A$6:$A$40,0)),0)</f>
        <v/>
      </c>
    </row>
    <row r="55">
      <c r="A55" s="6" t="inlineStr">
        <is>
          <t>2000-02</t>
        </is>
      </c>
      <c r="B55" s="6" t="n">
        <v>2000</v>
      </c>
      <c r="C55" s="27" t="n">
        <v>1654.8</v>
      </c>
      <c r="D55" s="30" t="inlineStr">
        <is>
          <t>2000-02-29</t>
        </is>
      </c>
      <c r="E55" s="25" t="n"/>
      <c r="F55" s="6" t="inlineStr">
        <is>
          <t>see Gold 1995-2005</t>
        </is>
      </c>
      <c r="G55" s="22">
        <f>'Gold 1995-2005'!E59*$P$1</f>
        <v/>
      </c>
      <c r="H55" s="26" t="n">
        <v>4.01</v>
      </c>
      <c r="I55" s="16">
        <f>IF(2=INDEX('Bonds calculation'!$L$6:$L$40,MATCH(B55,'Bonds calculation'!$A$6:$A$40,0)),INDEX('Bonds calculation'!$G$6:$G$40,MATCH(B55,'Bonds calculation'!$A$6:$A$40,0)),0)</f>
        <v/>
      </c>
    </row>
    <row r="56">
      <c r="A56" s="6" t="inlineStr">
        <is>
          <t>2000-03</t>
        </is>
      </c>
      <c r="B56" s="6" t="n">
        <v>2000</v>
      </c>
      <c r="C56" s="27" t="n">
        <v>1528.45</v>
      </c>
      <c r="D56" s="30" t="inlineStr">
        <is>
          <t>2000-03-31</t>
        </is>
      </c>
      <c r="E56" s="25" t="n"/>
      <c r="F56" s="6" t="inlineStr">
        <is>
          <t>see Gold 1995-2005</t>
        </is>
      </c>
      <c r="G56" s="22">
        <f>'Gold 1995-2005'!E60*$P$1</f>
        <v/>
      </c>
      <c r="H56" s="26" t="n">
        <v>4.01</v>
      </c>
      <c r="I56" s="16">
        <f>IF(3=INDEX('Bonds calculation'!$L$6:$L$40,MATCH(B56,'Bonds calculation'!$A$6:$A$40,0)),INDEX('Bonds calculation'!$G$6:$G$40,MATCH(B56,'Bonds calculation'!$A$6:$A$40,0)),0)</f>
        <v/>
      </c>
    </row>
    <row r="57">
      <c r="A57" s="6" t="inlineStr">
        <is>
          <t>2000-04</t>
        </is>
      </c>
      <c r="B57" s="6" t="n">
        <v>2000</v>
      </c>
      <c r="C57" s="27" t="n">
        <v>1406.55</v>
      </c>
      <c r="D57" s="30" t="inlineStr">
        <is>
          <t>2000-04-28</t>
        </is>
      </c>
      <c r="E57" s="25" t="n"/>
      <c r="F57" s="6" t="inlineStr">
        <is>
          <t>see Gold 1995-2005</t>
        </is>
      </c>
      <c r="G57" s="22">
        <f>'Gold 1995-2005'!E61*$P$1</f>
        <v/>
      </c>
      <c r="H57" s="26" t="n">
        <v>4.01</v>
      </c>
      <c r="I57" s="16">
        <f>IF(4=INDEX('Bonds calculation'!$L$6:$L$40,MATCH(B57,'Bonds calculation'!$A$6:$A$40,0)),INDEX('Bonds calculation'!$G$6:$G$40,MATCH(B57,'Bonds calculation'!$A$6:$A$40,0)),0)</f>
        <v/>
      </c>
    </row>
    <row r="58">
      <c r="A58" s="6" t="inlineStr">
        <is>
          <t>2000-05</t>
        </is>
      </c>
      <c r="B58" s="6" t="n">
        <v>2000</v>
      </c>
      <c r="C58" s="27" t="n">
        <v>1380.45</v>
      </c>
      <c r="D58" s="30" t="inlineStr">
        <is>
          <t>2000-05-31</t>
        </is>
      </c>
      <c r="E58" s="25" t="n"/>
      <c r="F58" s="6" t="inlineStr">
        <is>
          <t>see Gold 1995-2005</t>
        </is>
      </c>
      <c r="G58" s="22">
        <f>'Gold 1995-2005'!E62*$P$1</f>
        <v/>
      </c>
      <c r="H58" s="26" t="n">
        <v>4.01</v>
      </c>
      <c r="I58" s="16">
        <f>IF(5=INDEX('Bonds calculation'!$L$6:$L$40,MATCH(B58,'Bonds calculation'!$A$6:$A$40,0)),INDEX('Bonds calculation'!$G$6:$G$40,MATCH(B58,'Bonds calculation'!$A$6:$A$40,0)),0)</f>
        <v/>
      </c>
    </row>
    <row r="59">
      <c r="A59" s="6" t="inlineStr">
        <is>
          <t>2000-06</t>
        </is>
      </c>
      <c r="B59" s="6" t="n">
        <v>2000</v>
      </c>
      <c r="C59" s="27" t="n">
        <v>1471.45</v>
      </c>
      <c r="D59" s="30" t="inlineStr">
        <is>
          <t>2000-06-30</t>
        </is>
      </c>
      <c r="E59" s="25" t="n"/>
      <c r="F59" s="6" t="inlineStr">
        <is>
          <t>see Gold 1995-2005</t>
        </is>
      </c>
      <c r="G59" s="22">
        <f>'Gold 1995-2005'!E63*$P$1</f>
        <v/>
      </c>
      <c r="H59" s="26" t="n">
        <v>4.01</v>
      </c>
      <c r="I59" s="16">
        <f>IF(6=INDEX('Bonds calculation'!$L$6:$L$40,MATCH(B59,'Bonds calculation'!$A$6:$A$40,0)),INDEX('Bonds calculation'!$G$6:$G$40,MATCH(B59,'Bonds calculation'!$A$6:$A$40,0)),0)</f>
        <v/>
      </c>
    </row>
    <row r="60">
      <c r="A60" s="6" t="inlineStr">
        <is>
          <t>2000-07</t>
        </is>
      </c>
      <c r="B60" s="6" t="n">
        <v>2000</v>
      </c>
      <c r="C60" s="27" t="n">
        <v>1332.85</v>
      </c>
      <c r="D60" s="30" t="inlineStr">
        <is>
          <t>2000-07-31</t>
        </is>
      </c>
      <c r="E60" s="25" t="n"/>
      <c r="F60" s="6" t="inlineStr">
        <is>
          <t>see Gold 1995-2005</t>
        </is>
      </c>
      <c r="G60" s="22">
        <f>'Gold 1995-2005'!E64*$P$1</f>
        <v/>
      </c>
      <c r="H60" s="26" t="n">
        <v>4.01</v>
      </c>
      <c r="I60" s="16">
        <f>IF(7=INDEX('Bonds calculation'!$L$6:$L$40,MATCH(B60,'Bonds calculation'!$A$6:$A$40,0)),INDEX('Bonds calculation'!$G$6:$G$40,MATCH(B60,'Bonds calculation'!$A$6:$A$40,0)),0)</f>
        <v/>
      </c>
    </row>
    <row r="61">
      <c r="A61" s="6" t="inlineStr">
        <is>
          <t>2000-08</t>
        </is>
      </c>
      <c r="B61" s="6" t="n">
        <v>2000</v>
      </c>
      <c r="C61" s="27" t="n">
        <v>1394.1</v>
      </c>
      <c r="D61" s="30" t="inlineStr">
        <is>
          <t>2000-08-31</t>
        </is>
      </c>
      <c r="E61" s="25" t="n"/>
      <c r="F61" s="6" t="inlineStr">
        <is>
          <t>see Gold 1995-2005</t>
        </is>
      </c>
      <c r="G61" s="22">
        <f>'Gold 1995-2005'!E65*$P$1</f>
        <v/>
      </c>
      <c r="H61" s="26" t="n">
        <v>4.01</v>
      </c>
      <c r="I61" s="16">
        <f>IF(8=INDEX('Bonds calculation'!$L$6:$L$40,MATCH(B61,'Bonds calculation'!$A$6:$A$40,0)),INDEX('Bonds calculation'!$G$6:$G$40,MATCH(B61,'Bonds calculation'!$A$6:$A$40,0)),0)</f>
        <v/>
      </c>
    </row>
    <row r="62">
      <c r="A62" s="6" t="inlineStr">
        <is>
          <t>2000-09</t>
        </is>
      </c>
      <c r="B62" s="6" t="n">
        <v>2000</v>
      </c>
      <c r="C62" s="27" t="n">
        <v>1271.65</v>
      </c>
      <c r="D62" s="30" t="inlineStr">
        <is>
          <t>2000-09-29</t>
        </is>
      </c>
      <c r="E62" s="25" t="n"/>
      <c r="F62" s="6" t="inlineStr">
        <is>
          <t>see Gold 1995-2005</t>
        </is>
      </c>
      <c r="G62" s="22">
        <f>'Gold 1995-2005'!E66*$P$1</f>
        <v/>
      </c>
      <c r="H62" s="26" t="n">
        <v>4.01</v>
      </c>
      <c r="I62" s="16">
        <f>IF(9=INDEX('Bonds calculation'!$L$6:$L$40,MATCH(B62,'Bonds calculation'!$A$6:$A$40,0)),INDEX('Bonds calculation'!$G$6:$G$40,MATCH(B62,'Bonds calculation'!$A$6:$A$40,0)),0)</f>
        <v/>
      </c>
    </row>
    <row r="63">
      <c r="A63" s="6" t="inlineStr">
        <is>
          <t>2000-10</t>
        </is>
      </c>
      <c r="B63" s="6" t="n">
        <v>2000</v>
      </c>
      <c r="C63" s="27" t="n">
        <v>1172.75</v>
      </c>
      <c r="D63" s="30" t="inlineStr">
        <is>
          <t>2000-10-31</t>
        </is>
      </c>
      <c r="E63" s="25" t="n"/>
      <c r="F63" s="6" t="inlineStr">
        <is>
          <t>see Gold 1995-2005</t>
        </is>
      </c>
      <c r="G63" s="22">
        <f>'Gold 1995-2005'!E67*$P$1</f>
        <v/>
      </c>
      <c r="H63" s="26" t="n">
        <v>4.01</v>
      </c>
      <c r="I63" s="16">
        <f>IF(10=INDEX('Bonds calculation'!$L$6:$L$40,MATCH(B63,'Bonds calculation'!$A$6:$A$40,0)),INDEX('Bonds calculation'!$G$6:$G$40,MATCH(B63,'Bonds calculation'!$A$6:$A$40,0)),0)</f>
        <v/>
      </c>
    </row>
    <row r="64">
      <c r="A64" s="6" t="inlineStr">
        <is>
          <t>2000-11</t>
        </is>
      </c>
      <c r="B64" s="6" t="n">
        <v>2000</v>
      </c>
      <c r="C64" s="27" t="n">
        <v>1268.15</v>
      </c>
      <c r="D64" s="30" t="inlineStr">
        <is>
          <t>2000-11-30</t>
        </is>
      </c>
      <c r="E64" s="25" t="n"/>
      <c r="F64" s="6" t="inlineStr">
        <is>
          <t>see Gold 1995-2005</t>
        </is>
      </c>
      <c r="G64" s="22">
        <f>'Gold 1995-2005'!E68*$P$1</f>
        <v/>
      </c>
      <c r="H64" s="26" t="n">
        <v>4.01</v>
      </c>
      <c r="I64" s="16">
        <f>IF(11=INDEX('Bonds calculation'!$L$6:$L$40,MATCH(B64,'Bonds calculation'!$A$6:$A$40,0)),INDEX('Bonds calculation'!$G$6:$G$40,MATCH(B64,'Bonds calculation'!$A$6:$A$40,0)),0)</f>
        <v/>
      </c>
    </row>
    <row r="65">
      <c r="A65" s="6" t="inlineStr">
        <is>
          <t>2000-12</t>
        </is>
      </c>
      <c r="B65" s="6" t="n">
        <v>2000</v>
      </c>
      <c r="C65" s="27" t="n">
        <v>1263.55</v>
      </c>
      <c r="D65" s="30" t="inlineStr">
        <is>
          <t>2000-12-29</t>
        </is>
      </c>
      <c r="E65" s="25" t="n"/>
      <c r="F65" s="6" t="inlineStr">
        <is>
          <t>see Gold 1995-2005</t>
        </is>
      </c>
      <c r="G65" s="22">
        <f>'Gold 1995-2005'!E69*$P$1</f>
        <v/>
      </c>
      <c r="H65" s="26" t="n">
        <v>4.01</v>
      </c>
      <c r="I65" s="16">
        <f>IF(12=INDEX('Bonds calculation'!$L$6:$L$40,MATCH(B65,'Bonds calculation'!$A$6:$A$40,0)),INDEX('Bonds calculation'!$G$6:$G$40,MATCH(B65,'Bonds calculation'!$A$6:$A$40,0)),0)</f>
        <v/>
      </c>
    </row>
    <row r="66">
      <c r="A66" s="6" t="inlineStr">
        <is>
          <t>2001-01</t>
        </is>
      </c>
      <c r="B66" s="6" t="n">
        <v>2001</v>
      </c>
      <c r="C66" s="27" t="n">
        <v>1371.7</v>
      </c>
      <c r="D66" s="30" t="inlineStr">
        <is>
          <t>2001-01-31</t>
        </is>
      </c>
      <c r="E66" s="25" t="n"/>
      <c r="F66" s="6" t="inlineStr">
        <is>
          <t>see Gold 1995-2005</t>
        </is>
      </c>
      <c r="G66" s="22">
        <f>'Gold 1995-2005'!E70*$P$1</f>
        <v/>
      </c>
      <c r="H66" s="26" t="n">
        <v>3.78</v>
      </c>
      <c r="I66" s="16">
        <f>IF(1=INDEX('Bonds calculation'!$L$6:$L$40,MATCH(B66,'Bonds calculation'!$A$6:$A$40,0)),INDEX('Bonds calculation'!$G$6:$G$40,MATCH(B66,'Bonds calculation'!$A$6:$A$40,0)),0)</f>
        <v/>
      </c>
    </row>
    <row r="67">
      <c r="A67" s="6" t="inlineStr">
        <is>
          <t>2001-02</t>
        </is>
      </c>
      <c r="B67" s="6" t="n">
        <v>2001</v>
      </c>
      <c r="C67" s="27" t="n">
        <v>1351.4</v>
      </c>
      <c r="D67" s="30" t="inlineStr">
        <is>
          <t>2001-02-28</t>
        </is>
      </c>
      <c r="E67" s="25" t="n"/>
      <c r="F67" s="6" t="inlineStr">
        <is>
          <t>see Gold 1995-2005</t>
        </is>
      </c>
      <c r="G67" s="22">
        <f>'Gold 1995-2005'!E71*$P$1</f>
        <v/>
      </c>
      <c r="H67" s="26" t="n">
        <v>3.78</v>
      </c>
      <c r="I67" s="16">
        <f>IF(2=INDEX('Bonds calculation'!$L$6:$L$40,MATCH(B67,'Bonds calculation'!$A$6:$A$40,0)),INDEX('Bonds calculation'!$G$6:$G$40,MATCH(B67,'Bonds calculation'!$A$6:$A$40,0)),0)</f>
        <v/>
      </c>
    </row>
    <row r="68">
      <c r="A68" s="6" t="inlineStr">
        <is>
          <t>2001-03</t>
        </is>
      </c>
      <c r="B68" s="6" t="n">
        <v>2001</v>
      </c>
      <c r="C68" s="27" t="n">
        <v>1148.2</v>
      </c>
      <c r="D68" s="30" t="inlineStr">
        <is>
          <t>2001-03-30</t>
        </is>
      </c>
      <c r="E68" s="25" t="n"/>
      <c r="F68" s="6" t="inlineStr">
        <is>
          <t>see Gold 1995-2005</t>
        </is>
      </c>
      <c r="G68" s="22">
        <f>'Gold 1995-2005'!E72*$P$1</f>
        <v/>
      </c>
      <c r="H68" s="26" t="n">
        <v>3.78</v>
      </c>
      <c r="I68" s="16">
        <f>IF(3=INDEX('Bonds calculation'!$L$6:$L$40,MATCH(B68,'Bonds calculation'!$A$6:$A$40,0)),INDEX('Bonds calculation'!$G$6:$G$40,MATCH(B68,'Bonds calculation'!$A$6:$A$40,0)),0)</f>
        <v/>
      </c>
    </row>
    <row r="69">
      <c r="A69" s="6" t="inlineStr">
        <is>
          <t>2001-04</t>
        </is>
      </c>
      <c r="B69" s="6" t="n">
        <v>2001</v>
      </c>
      <c r="C69" s="27" t="n">
        <v>1125.25</v>
      </c>
      <c r="D69" s="30" t="inlineStr">
        <is>
          <t>2001-04-30</t>
        </is>
      </c>
      <c r="E69" s="25" t="n"/>
      <c r="F69" s="6" t="inlineStr">
        <is>
          <t>see Gold 1995-2005</t>
        </is>
      </c>
      <c r="G69" s="22">
        <f>'Gold 1995-2005'!E73*$P$1</f>
        <v/>
      </c>
      <c r="H69" s="26" t="n">
        <v>3.78</v>
      </c>
      <c r="I69" s="16">
        <f>IF(4=INDEX('Bonds calculation'!$L$6:$L$40,MATCH(B69,'Bonds calculation'!$A$6:$A$40,0)),INDEX('Bonds calculation'!$G$6:$G$40,MATCH(B69,'Bonds calculation'!$A$6:$A$40,0)),0)</f>
        <v/>
      </c>
    </row>
    <row r="70">
      <c r="A70" s="6" t="inlineStr">
        <is>
          <t>2001-05</t>
        </is>
      </c>
      <c r="B70" s="6" t="n">
        <v>2001</v>
      </c>
      <c r="C70" s="27" t="n">
        <v>1167.9</v>
      </c>
      <c r="D70" s="30" t="inlineStr">
        <is>
          <t>2001-05-31</t>
        </is>
      </c>
      <c r="E70" s="25" t="n"/>
      <c r="F70" s="6" t="inlineStr">
        <is>
          <t>see Gold 1995-2005</t>
        </is>
      </c>
      <c r="G70" s="22">
        <f>'Gold 1995-2005'!E74*$P$1</f>
        <v/>
      </c>
      <c r="H70" s="26" t="n">
        <v>3.78</v>
      </c>
      <c r="I70" s="16">
        <f>IF(5=INDEX('Bonds calculation'!$L$6:$L$40,MATCH(B70,'Bonds calculation'!$A$6:$A$40,0)),INDEX('Bonds calculation'!$G$6:$G$40,MATCH(B70,'Bonds calculation'!$A$6:$A$40,0)),0)</f>
        <v/>
      </c>
    </row>
    <row r="71">
      <c r="A71" s="6" t="inlineStr">
        <is>
          <t>2001-06</t>
        </is>
      </c>
      <c r="B71" s="6" t="n">
        <v>2001</v>
      </c>
      <c r="C71" s="27" t="n">
        <v>1107.9</v>
      </c>
      <c r="D71" s="30" t="inlineStr">
        <is>
          <t>2001-06-29</t>
        </is>
      </c>
      <c r="E71" s="25" t="n"/>
      <c r="F71" s="6" t="inlineStr">
        <is>
          <t>see Gold 1995-2005</t>
        </is>
      </c>
      <c r="G71" s="22">
        <f>'Gold 1995-2005'!E75*$P$1</f>
        <v/>
      </c>
      <c r="H71" s="26" t="n">
        <v>3.78</v>
      </c>
      <c r="I71" s="16">
        <f>IF(6=INDEX('Bonds calculation'!$L$6:$L$40,MATCH(B71,'Bonds calculation'!$A$6:$A$40,0)),INDEX('Bonds calculation'!$G$6:$G$40,MATCH(B71,'Bonds calculation'!$A$6:$A$40,0)),0)</f>
        <v/>
      </c>
    </row>
    <row r="72">
      <c r="A72" s="6" t="inlineStr">
        <is>
          <t>2001-07</t>
        </is>
      </c>
      <c r="B72" s="6" t="n">
        <v>2001</v>
      </c>
      <c r="C72" s="27" t="n">
        <v>1072.85</v>
      </c>
      <c r="D72" s="30" t="inlineStr">
        <is>
          <t>2001-07-31</t>
        </is>
      </c>
      <c r="E72" s="25" t="n"/>
      <c r="F72" s="6" t="inlineStr">
        <is>
          <t>see Gold 1995-2005</t>
        </is>
      </c>
      <c r="G72" s="22">
        <f>'Gold 1995-2005'!E76*$P$1</f>
        <v/>
      </c>
      <c r="H72" s="26" t="n">
        <v>3.78</v>
      </c>
      <c r="I72" s="16">
        <f>IF(7=INDEX('Bonds calculation'!$L$6:$L$40,MATCH(B72,'Bonds calculation'!$A$6:$A$40,0)),INDEX('Bonds calculation'!$G$6:$G$40,MATCH(B72,'Bonds calculation'!$A$6:$A$40,0)),0)</f>
        <v/>
      </c>
    </row>
    <row r="73">
      <c r="A73" s="6" t="inlineStr">
        <is>
          <t>2001-08</t>
        </is>
      </c>
      <c r="B73" s="6" t="n">
        <v>2001</v>
      </c>
      <c r="C73" s="27" t="n">
        <v>1053.75</v>
      </c>
      <c r="D73" s="30" t="inlineStr">
        <is>
          <t>2001-08-31</t>
        </is>
      </c>
      <c r="E73" s="25" t="n"/>
      <c r="F73" s="6" t="inlineStr">
        <is>
          <t>see Gold 1995-2005</t>
        </is>
      </c>
      <c r="G73" s="22">
        <f>'Gold 1995-2005'!E77*$P$1</f>
        <v/>
      </c>
      <c r="H73" s="26" t="n">
        <v>3.78</v>
      </c>
      <c r="I73" s="16">
        <f>IF(8=INDEX('Bonds calculation'!$L$6:$L$40,MATCH(B73,'Bonds calculation'!$A$6:$A$40,0)),INDEX('Bonds calculation'!$G$6:$G$40,MATCH(B73,'Bonds calculation'!$A$6:$A$40,0)),0)</f>
        <v/>
      </c>
    </row>
    <row r="74">
      <c r="A74" s="6" t="inlineStr">
        <is>
          <t>2001-09</t>
        </is>
      </c>
      <c r="B74" s="6" t="n">
        <v>2001</v>
      </c>
      <c r="C74" s="27" t="n">
        <v>913.85</v>
      </c>
      <c r="D74" s="30" t="inlineStr">
        <is>
          <t>2001-09-28</t>
        </is>
      </c>
      <c r="E74" s="25" t="n"/>
      <c r="F74" s="6" t="inlineStr">
        <is>
          <t>see Gold 1995-2005</t>
        </is>
      </c>
      <c r="G74" s="22">
        <f>'Gold 1995-2005'!E78*$P$1</f>
        <v/>
      </c>
      <c r="H74" s="26" t="n">
        <v>3.78</v>
      </c>
      <c r="I74" s="16">
        <f>IF(9=INDEX('Bonds calculation'!$L$6:$L$40,MATCH(B74,'Bonds calculation'!$A$6:$A$40,0)),INDEX('Bonds calculation'!$G$6:$G$40,MATCH(B74,'Bonds calculation'!$A$6:$A$40,0)),0)</f>
        <v/>
      </c>
    </row>
    <row r="75">
      <c r="A75" s="6" t="inlineStr">
        <is>
          <t>2001-10</t>
        </is>
      </c>
      <c r="B75" s="6" t="n">
        <v>2001</v>
      </c>
      <c r="C75" s="27" t="n">
        <v>971.9</v>
      </c>
      <c r="D75" s="30" t="inlineStr">
        <is>
          <t>2001-10-31</t>
        </is>
      </c>
      <c r="E75" s="25" t="n"/>
      <c r="F75" s="6" t="inlineStr">
        <is>
          <t>see Gold 1995-2005</t>
        </is>
      </c>
      <c r="G75" s="22">
        <f>'Gold 1995-2005'!E79*$P$1</f>
        <v/>
      </c>
      <c r="H75" s="26" t="n">
        <v>3.78</v>
      </c>
      <c r="I75" s="16">
        <f>IF(10=INDEX('Bonds calculation'!$L$6:$L$40,MATCH(B75,'Bonds calculation'!$A$6:$A$40,0)),INDEX('Bonds calculation'!$G$6:$G$40,MATCH(B75,'Bonds calculation'!$A$6:$A$40,0)),0)</f>
        <v/>
      </c>
    </row>
    <row r="76">
      <c r="A76" s="6" t="inlineStr">
        <is>
          <t>2001-11</t>
        </is>
      </c>
      <c r="B76" s="6" t="n">
        <v>2001</v>
      </c>
      <c r="C76" s="27" t="n">
        <v>1067.15</v>
      </c>
      <c r="D76" s="30" t="inlineStr">
        <is>
          <t>2001-11-29</t>
        </is>
      </c>
      <c r="E76" s="25" t="n"/>
      <c r="F76" s="6" t="inlineStr">
        <is>
          <t>see Gold 1995-2005</t>
        </is>
      </c>
      <c r="G76" s="22">
        <f>'Gold 1995-2005'!E80*$P$1</f>
        <v/>
      </c>
      <c r="H76" s="26" t="n">
        <v>3.78</v>
      </c>
      <c r="I76" s="16">
        <f>IF(11=INDEX('Bonds calculation'!$L$6:$L$40,MATCH(B76,'Bonds calculation'!$A$6:$A$40,0)),INDEX('Bonds calculation'!$G$6:$G$40,MATCH(B76,'Bonds calculation'!$A$6:$A$40,0)),0)</f>
        <v/>
      </c>
    </row>
    <row r="77">
      <c r="A77" s="6" t="inlineStr">
        <is>
          <t>2001-12</t>
        </is>
      </c>
      <c r="B77" s="6" t="n">
        <v>2001</v>
      </c>
      <c r="C77" s="27" t="n">
        <v>1059.05</v>
      </c>
      <c r="D77" s="30" t="inlineStr">
        <is>
          <t>2001-12-31</t>
        </is>
      </c>
      <c r="E77" s="25" t="n"/>
      <c r="F77" s="6" t="inlineStr">
        <is>
          <t>see Gold 1995-2005</t>
        </is>
      </c>
      <c r="G77" s="22">
        <f>'Gold 1995-2005'!E81*$P$1</f>
        <v/>
      </c>
      <c r="H77" s="26" t="n">
        <v>3.78</v>
      </c>
      <c r="I77" s="16">
        <f>IF(12=INDEX('Bonds calculation'!$L$6:$L$40,MATCH(B77,'Bonds calculation'!$A$6:$A$40,0)),INDEX('Bonds calculation'!$G$6:$G$40,MATCH(B77,'Bonds calculation'!$A$6:$A$40,0)),0)</f>
        <v/>
      </c>
    </row>
    <row r="78">
      <c r="A78" s="6" t="inlineStr">
        <is>
          <t>2002-01</t>
        </is>
      </c>
      <c r="B78" s="6" t="n">
        <v>2002</v>
      </c>
      <c r="C78" s="27" t="n">
        <v>1075.4</v>
      </c>
      <c r="D78" s="30" t="inlineStr">
        <is>
          <t>2002-01-31</t>
        </is>
      </c>
      <c r="E78" s="25" t="n"/>
      <c r="F78" s="6" t="inlineStr">
        <is>
          <t>see Gold 1995-2005</t>
        </is>
      </c>
      <c r="G78" s="22">
        <f>'Gold 1995-2005'!E82*$P$1</f>
        <v/>
      </c>
      <c r="H78" s="26" t="n">
        <v>4.3</v>
      </c>
      <c r="I78" s="16">
        <f>IF(1=INDEX('Bonds calculation'!$L$6:$L$40,MATCH(B78,'Bonds calculation'!$A$6:$A$40,0)),INDEX('Bonds calculation'!$G$6:$G$40,MATCH(B78,'Bonds calculation'!$A$6:$A$40,0)),0)</f>
        <v/>
      </c>
    </row>
    <row r="79">
      <c r="A79" s="6" t="inlineStr">
        <is>
          <t>2002-02</t>
        </is>
      </c>
      <c r="B79" s="6" t="n">
        <v>2002</v>
      </c>
      <c r="C79" s="27" t="n">
        <v>1142.05</v>
      </c>
      <c r="D79" s="30" t="inlineStr">
        <is>
          <t>2002-02-28</t>
        </is>
      </c>
      <c r="E79" s="25" t="n"/>
      <c r="F79" s="6" t="inlineStr">
        <is>
          <t>see Gold 1995-2005</t>
        </is>
      </c>
      <c r="G79" s="22">
        <f>'Gold 1995-2005'!E83*$P$1</f>
        <v/>
      </c>
      <c r="H79" s="26" t="n">
        <v>4.3</v>
      </c>
      <c r="I79" s="16">
        <f>IF(2=INDEX('Bonds calculation'!$L$6:$L$40,MATCH(B79,'Bonds calculation'!$A$6:$A$40,0)),INDEX('Bonds calculation'!$G$6:$G$40,MATCH(B79,'Bonds calculation'!$A$6:$A$40,0)),0)</f>
        <v/>
      </c>
    </row>
    <row r="80">
      <c r="A80" s="6" t="inlineStr">
        <is>
          <t>2002-03</t>
        </is>
      </c>
      <c r="B80" s="6" t="n">
        <v>2002</v>
      </c>
      <c r="C80" s="27" t="n">
        <v>1129.55</v>
      </c>
      <c r="D80" s="30" t="inlineStr">
        <is>
          <t>2002-03-28</t>
        </is>
      </c>
      <c r="E80" s="25" t="n"/>
      <c r="F80" s="6" t="inlineStr">
        <is>
          <t>see Gold 1995-2005</t>
        </is>
      </c>
      <c r="G80" s="22">
        <f>'Gold 1995-2005'!E84*$P$1</f>
        <v/>
      </c>
      <c r="H80" s="26" t="n">
        <v>4.3</v>
      </c>
      <c r="I80" s="16">
        <f>IF(3=INDEX('Bonds calculation'!$L$6:$L$40,MATCH(B80,'Bonds calculation'!$A$6:$A$40,0)),INDEX('Bonds calculation'!$G$6:$G$40,MATCH(B80,'Bonds calculation'!$A$6:$A$40,0)),0)</f>
        <v/>
      </c>
    </row>
    <row r="81">
      <c r="A81" s="6" t="inlineStr">
        <is>
          <t>2002-04</t>
        </is>
      </c>
      <c r="B81" s="6" t="n">
        <v>2002</v>
      </c>
      <c r="C81" s="27" t="n">
        <v>1084.5</v>
      </c>
      <c r="D81" s="30" t="inlineStr">
        <is>
          <t>2002-04-30</t>
        </is>
      </c>
      <c r="E81" s="25" t="n"/>
      <c r="F81" s="6" t="inlineStr">
        <is>
          <t>see Gold 1995-2005</t>
        </is>
      </c>
      <c r="G81" s="22">
        <f>'Gold 1995-2005'!E85*$P$1</f>
        <v/>
      </c>
      <c r="H81" s="26" t="n">
        <v>4.3</v>
      </c>
      <c r="I81" s="16">
        <f>IF(4=INDEX('Bonds calculation'!$L$6:$L$40,MATCH(B81,'Bonds calculation'!$A$6:$A$40,0)),INDEX('Bonds calculation'!$G$6:$G$40,MATCH(B81,'Bonds calculation'!$A$6:$A$40,0)),0)</f>
        <v/>
      </c>
    </row>
    <row r="82">
      <c r="A82" s="6" t="inlineStr">
        <is>
          <t>2002-05</t>
        </is>
      </c>
      <c r="B82" s="6" t="n">
        <v>2002</v>
      </c>
      <c r="C82" s="27" t="n">
        <v>1028.8</v>
      </c>
      <c r="D82" s="30" t="inlineStr">
        <is>
          <t>2002-05-31</t>
        </is>
      </c>
      <c r="E82" s="25" t="n"/>
      <c r="F82" s="6" t="inlineStr">
        <is>
          <t>see Gold 1995-2005</t>
        </is>
      </c>
      <c r="G82" s="22">
        <f>'Gold 1995-2005'!E86*$P$1</f>
        <v/>
      </c>
      <c r="H82" s="26" t="n">
        <v>4.3</v>
      </c>
      <c r="I82" s="16">
        <f>IF(5=INDEX('Bonds calculation'!$L$6:$L$40,MATCH(B82,'Bonds calculation'!$A$6:$A$40,0)),INDEX('Bonds calculation'!$G$6:$G$40,MATCH(B82,'Bonds calculation'!$A$6:$A$40,0)),0)</f>
        <v/>
      </c>
    </row>
    <row r="83">
      <c r="A83" s="6" t="inlineStr">
        <is>
          <t>2002-06</t>
        </is>
      </c>
      <c r="B83" s="6" t="n">
        <v>2002</v>
      </c>
      <c r="C83" s="27" t="n">
        <v>1057.8</v>
      </c>
      <c r="D83" s="30" t="inlineStr">
        <is>
          <t>2002-06-28</t>
        </is>
      </c>
      <c r="E83" s="25" t="n"/>
      <c r="F83" s="6" t="inlineStr">
        <is>
          <t>see Gold 1995-2005</t>
        </is>
      </c>
      <c r="G83" s="22">
        <f>'Gold 1995-2005'!E87*$P$1</f>
        <v/>
      </c>
      <c r="H83" s="26" t="n">
        <v>4.3</v>
      </c>
      <c r="I83" s="16">
        <f>IF(6=INDEX('Bonds calculation'!$L$6:$L$40,MATCH(B83,'Bonds calculation'!$A$6:$A$40,0)),INDEX('Bonds calculation'!$G$6:$G$40,MATCH(B83,'Bonds calculation'!$A$6:$A$40,0)),0)</f>
        <v/>
      </c>
    </row>
    <row r="84">
      <c r="A84" s="6" t="inlineStr">
        <is>
          <t>2002-07</t>
        </is>
      </c>
      <c r="B84" s="6" t="n">
        <v>2002</v>
      </c>
      <c r="C84" s="27" t="n">
        <v>958.9</v>
      </c>
      <c r="D84" s="30" t="inlineStr">
        <is>
          <t>2002-07-31</t>
        </is>
      </c>
      <c r="E84" s="25" t="n"/>
      <c r="F84" s="6" t="inlineStr">
        <is>
          <t>see Gold 1995-2005</t>
        </is>
      </c>
      <c r="G84" s="22">
        <f>'Gold 1995-2005'!E88*$P$1</f>
        <v/>
      </c>
      <c r="H84" s="26" t="n">
        <v>4.3</v>
      </c>
      <c r="I84" s="16">
        <f>IF(7=INDEX('Bonds calculation'!$L$6:$L$40,MATCH(B84,'Bonds calculation'!$A$6:$A$40,0)),INDEX('Bonds calculation'!$G$6:$G$40,MATCH(B84,'Bonds calculation'!$A$6:$A$40,0)),0)</f>
        <v/>
      </c>
    </row>
    <row r="85">
      <c r="A85" s="6" t="inlineStr">
        <is>
          <t>2002-08</t>
        </is>
      </c>
      <c r="B85" s="6" t="n">
        <v>2002</v>
      </c>
      <c r="C85" s="27" t="n">
        <v>1010.6</v>
      </c>
      <c r="D85" s="30" t="inlineStr">
        <is>
          <t>2002-08-30</t>
        </is>
      </c>
      <c r="E85" s="25" t="n"/>
      <c r="F85" s="6" t="inlineStr">
        <is>
          <t>see Gold 1995-2005</t>
        </is>
      </c>
      <c r="G85" s="22">
        <f>'Gold 1995-2005'!E89*$P$1</f>
        <v/>
      </c>
      <c r="H85" s="26" t="n">
        <v>4.3</v>
      </c>
      <c r="I85" s="16">
        <f>IF(8=INDEX('Bonds calculation'!$L$6:$L$40,MATCH(B85,'Bonds calculation'!$A$6:$A$40,0)),INDEX('Bonds calculation'!$G$6:$G$40,MATCH(B85,'Bonds calculation'!$A$6:$A$40,0)),0)</f>
        <v/>
      </c>
    </row>
    <row r="86">
      <c r="A86" s="6" t="inlineStr">
        <is>
          <t>2002-09</t>
        </is>
      </c>
      <c r="B86" s="6" t="n">
        <v>2002</v>
      </c>
      <c r="C86" s="27" t="n">
        <v>963.15</v>
      </c>
      <c r="D86" s="30" t="inlineStr">
        <is>
          <t>2002-09-30</t>
        </is>
      </c>
      <c r="E86" s="25" t="n"/>
      <c r="F86" s="6" t="inlineStr">
        <is>
          <t>see Gold 1995-2005</t>
        </is>
      </c>
      <c r="G86" s="22">
        <f>'Gold 1995-2005'!E90*$P$1</f>
        <v/>
      </c>
      <c r="H86" s="26" t="n">
        <v>4.3</v>
      </c>
      <c r="I86" s="16">
        <f>IF(9=INDEX('Bonds calculation'!$L$6:$L$40,MATCH(B86,'Bonds calculation'!$A$6:$A$40,0)),INDEX('Bonds calculation'!$G$6:$G$40,MATCH(B86,'Bonds calculation'!$A$6:$A$40,0)),0)</f>
        <v/>
      </c>
    </row>
    <row r="87">
      <c r="A87" s="6" t="inlineStr">
        <is>
          <t>2002-10</t>
        </is>
      </c>
      <c r="B87" s="6" t="n">
        <v>2002</v>
      </c>
      <c r="C87" s="27" t="n">
        <v>951.4</v>
      </c>
      <c r="D87" s="30" t="inlineStr">
        <is>
          <t>2002-10-31</t>
        </is>
      </c>
      <c r="E87" s="25" t="n"/>
      <c r="F87" s="6" t="inlineStr">
        <is>
          <t>see Gold 1995-2005</t>
        </is>
      </c>
      <c r="G87" s="22">
        <f>'Gold 1995-2005'!E91*$P$1</f>
        <v/>
      </c>
      <c r="H87" s="26" t="n">
        <v>4.3</v>
      </c>
      <c r="I87" s="16">
        <f>IF(10=INDEX('Bonds calculation'!$L$6:$L$40,MATCH(B87,'Bonds calculation'!$A$6:$A$40,0)),INDEX('Bonds calculation'!$G$6:$G$40,MATCH(B87,'Bonds calculation'!$A$6:$A$40,0)),0)</f>
        <v/>
      </c>
    </row>
    <row r="88">
      <c r="A88" s="6" t="inlineStr">
        <is>
          <t>2002-11</t>
        </is>
      </c>
      <c r="B88" s="6" t="n">
        <v>2002</v>
      </c>
      <c r="C88" s="27" t="n">
        <v>1050.15</v>
      </c>
      <c r="D88" s="30" t="inlineStr">
        <is>
          <t>2002-11-29</t>
        </is>
      </c>
      <c r="E88" s="25" t="n"/>
      <c r="F88" s="6" t="inlineStr">
        <is>
          <t>see Gold 1995-2005</t>
        </is>
      </c>
      <c r="G88" s="22">
        <f>'Gold 1995-2005'!E92*$P$1</f>
        <v/>
      </c>
      <c r="H88" s="26" t="n">
        <v>4.3</v>
      </c>
      <c r="I88" s="16">
        <f>IF(11=INDEX('Bonds calculation'!$L$6:$L$40,MATCH(B88,'Bonds calculation'!$A$6:$A$40,0)),INDEX('Bonds calculation'!$G$6:$G$40,MATCH(B88,'Bonds calculation'!$A$6:$A$40,0)),0)</f>
        <v/>
      </c>
    </row>
    <row r="89">
      <c r="A89" s="6" t="inlineStr">
        <is>
          <t>2002-12</t>
        </is>
      </c>
      <c r="B89" s="6" t="n">
        <v>2002</v>
      </c>
      <c r="C89" s="27" t="n">
        <v>1093.5</v>
      </c>
      <c r="D89" s="30" t="inlineStr">
        <is>
          <t>2002-12-31</t>
        </is>
      </c>
      <c r="E89" s="25" t="n"/>
      <c r="F89" s="6" t="inlineStr">
        <is>
          <t>see Gold 1995-2005</t>
        </is>
      </c>
      <c r="G89" s="22">
        <f>'Gold 1995-2005'!E93*$P$1</f>
        <v/>
      </c>
      <c r="H89" s="26" t="n">
        <v>4.3</v>
      </c>
      <c r="I89" s="16">
        <f>IF(12=INDEX('Bonds calculation'!$L$6:$L$40,MATCH(B89,'Bonds calculation'!$A$6:$A$40,0)),INDEX('Bonds calculation'!$G$6:$G$40,MATCH(B89,'Bonds calculation'!$A$6:$A$40,0)),0)</f>
        <v/>
      </c>
    </row>
    <row r="90">
      <c r="A90" s="6" t="inlineStr">
        <is>
          <t>2003-01</t>
        </is>
      </c>
      <c r="B90" s="6" t="n">
        <v>2003</v>
      </c>
      <c r="C90" s="27" t="n">
        <v>1041.85</v>
      </c>
      <c r="D90" s="30" t="inlineStr">
        <is>
          <t>2003-01-31</t>
        </is>
      </c>
      <c r="E90" s="25" t="n"/>
      <c r="F90" s="6" t="inlineStr">
        <is>
          <t>see Gold 1995-2005</t>
        </is>
      </c>
      <c r="G90" s="22">
        <f>'Gold 1995-2005'!E94*$P$1</f>
        <v/>
      </c>
      <c r="H90" s="26" t="n">
        <v>3.81</v>
      </c>
      <c r="I90" s="16">
        <f>IF(1=INDEX('Bonds calculation'!$L$6:$L$40,MATCH(B90,'Bonds calculation'!$A$6:$A$40,0)),INDEX('Bonds calculation'!$G$6:$G$40,MATCH(B90,'Bonds calculation'!$A$6:$A$40,0)),0)</f>
        <v/>
      </c>
    </row>
    <row r="91">
      <c r="A91" s="6" t="inlineStr">
        <is>
          <t>2003-02</t>
        </is>
      </c>
      <c r="B91" s="6" t="n">
        <v>2003</v>
      </c>
      <c r="C91" s="27" t="n">
        <v>1063.4</v>
      </c>
      <c r="D91" s="30" t="inlineStr">
        <is>
          <t>2003-02-28</t>
        </is>
      </c>
      <c r="E91" s="25" t="n"/>
      <c r="F91" s="6" t="inlineStr">
        <is>
          <t>see Gold 1995-2005</t>
        </is>
      </c>
      <c r="G91" s="22">
        <f>'Gold 1995-2005'!E95*$P$1</f>
        <v/>
      </c>
      <c r="H91" s="26" t="n">
        <v>3.81</v>
      </c>
      <c r="I91" s="16">
        <f>IF(2=INDEX('Bonds calculation'!$L$6:$L$40,MATCH(B91,'Bonds calculation'!$A$6:$A$40,0)),INDEX('Bonds calculation'!$G$6:$G$40,MATCH(B91,'Bonds calculation'!$A$6:$A$40,0)),0)</f>
        <v/>
      </c>
    </row>
    <row r="92">
      <c r="A92" s="6" t="inlineStr">
        <is>
          <t>2003-03</t>
        </is>
      </c>
      <c r="B92" s="6" t="n">
        <v>2003</v>
      </c>
      <c r="C92" s="27" t="n">
        <v>978.2</v>
      </c>
      <c r="D92" s="30" t="inlineStr">
        <is>
          <t>2003-03-31</t>
        </is>
      </c>
      <c r="E92" s="25" t="n"/>
      <c r="F92" s="6" t="inlineStr">
        <is>
          <t>see Gold 1995-2005</t>
        </is>
      </c>
      <c r="G92" s="22">
        <f>'Gold 1995-2005'!E96*$P$1</f>
        <v/>
      </c>
      <c r="H92" s="26" t="n">
        <v>3.81</v>
      </c>
      <c r="I92" s="16">
        <f>IF(3=INDEX('Bonds calculation'!$L$6:$L$40,MATCH(B92,'Bonds calculation'!$A$6:$A$40,0)),INDEX('Bonds calculation'!$G$6:$G$40,MATCH(B92,'Bonds calculation'!$A$6:$A$40,0)),0)</f>
        <v/>
      </c>
    </row>
    <row r="93">
      <c r="A93" s="6" t="inlineStr">
        <is>
          <t>2003-04</t>
        </is>
      </c>
      <c r="B93" s="6" t="n">
        <v>2003</v>
      </c>
      <c r="C93" s="27" t="n">
        <v>934.05</v>
      </c>
      <c r="D93" s="30" t="inlineStr">
        <is>
          <t>2003-04-30</t>
        </is>
      </c>
      <c r="E93" s="25" t="n"/>
      <c r="F93" s="6" t="inlineStr">
        <is>
          <t>see Gold 1995-2005</t>
        </is>
      </c>
      <c r="G93" s="22">
        <f>'Gold 1995-2005'!E97*$P$1</f>
        <v/>
      </c>
      <c r="H93" s="26" t="n">
        <v>3.81</v>
      </c>
      <c r="I93" s="16">
        <f>IF(4=INDEX('Bonds calculation'!$L$6:$L$40,MATCH(B93,'Bonds calculation'!$A$6:$A$40,0)),INDEX('Bonds calculation'!$G$6:$G$40,MATCH(B93,'Bonds calculation'!$A$6:$A$40,0)),0)</f>
        <v/>
      </c>
    </row>
    <row r="94">
      <c r="A94" s="6" t="inlineStr">
        <is>
          <t>2003-05</t>
        </is>
      </c>
      <c r="B94" s="6" t="n">
        <v>2003</v>
      </c>
      <c r="C94" s="27" t="n">
        <v>1006.8</v>
      </c>
      <c r="D94" s="30" t="inlineStr">
        <is>
          <t>2003-05-30</t>
        </is>
      </c>
      <c r="E94" s="25" t="n"/>
      <c r="F94" s="6" t="inlineStr">
        <is>
          <t>see Gold 1995-2005</t>
        </is>
      </c>
      <c r="G94" s="22">
        <f>'Gold 1995-2005'!E98*$P$1</f>
        <v/>
      </c>
      <c r="H94" s="26" t="n">
        <v>3.81</v>
      </c>
      <c r="I94" s="16">
        <f>IF(5=INDEX('Bonds calculation'!$L$6:$L$40,MATCH(B94,'Bonds calculation'!$A$6:$A$40,0)),INDEX('Bonds calculation'!$G$6:$G$40,MATCH(B94,'Bonds calculation'!$A$6:$A$40,0)),0)</f>
        <v/>
      </c>
    </row>
    <row r="95">
      <c r="A95" s="6" t="inlineStr">
        <is>
          <t>2003-06</t>
        </is>
      </c>
      <c r="B95" s="6" t="n">
        <v>2003</v>
      </c>
      <c r="C95" s="27" t="n">
        <v>1134.15</v>
      </c>
      <c r="D95" s="30" t="inlineStr">
        <is>
          <t>2003-06-30</t>
        </is>
      </c>
      <c r="E95" s="25" t="n"/>
      <c r="F95" s="6" t="inlineStr">
        <is>
          <t>see Gold 1995-2005</t>
        </is>
      </c>
      <c r="G95" s="22">
        <f>'Gold 1995-2005'!E99*$P$1</f>
        <v/>
      </c>
      <c r="H95" s="26" t="n">
        <v>3.81</v>
      </c>
      <c r="I95" s="16">
        <f>IF(6=INDEX('Bonds calculation'!$L$6:$L$40,MATCH(B95,'Bonds calculation'!$A$6:$A$40,0)),INDEX('Bonds calculation'!$G$6:$G$40,MATCH(B95,'Bonds calculation'!$A$6:$A$40,0)),0)</f>
        <v/>
      </c>
    </row>
    <row r="96">
      <c r="A96" s="6" t="inlineStr">
        <is>
          <t>2003-07</t>
        </is>
      </c>
      <c r="B96" s="6" t="n">
        <v>2003</v>
      </c>
      <c r="C96" s="27" t="n">
        <v>1185.85</v>
      </c>
      <c r="D96" s="30" t="inlineStr">
        <is>
          <t>2003-07-31</t>
        </is>
      </c>
      <c r="E96" s="25" t="n"/>
      <c r="F96" s="6" t="inlineStr">
        <is>
          <t>see Gold 1995-2005</t>
        </is>
      </c>
      <c r="G96" s="22">
        <f>'Gold 1995-2005'!E100*$P$1</f>
        <v/>
      </c>
      <c r="H96" s="26" t="n">
        <v>3.81</v>
      </c>
      <c r="I96" s="16">
        <f>IF(7=INDEX('Bonds calculation'!$L$6:$L$40,MATCH(B96,'Bonds calculation'!$A$6:$A$40,0)),INDEX('Bonds calculation'!$G$6:$G$40,MATCH(B96,'Bonds calculation'!$A$6:$A$40,0)),0)</f>
        <v/>
      </c>
    </row>
    <row r="97">
      <c r="A97" s="6" t="inlineStr">
        <is>
          <t>2003-08</t>
        </is>
      </c>
      <c r="B97" s="6" t="n">
        <v>2003</v>
      </c>
      <c r="C97" s="27" t="n">
        <v>1356.55</v>
      </c>
      <c r="D97" s="30" t="inlineStr">
        <is>
          <t>2003-08-29</t>
        </is>
      </c>
      <c r="E97" s="25" t="n"/>
      <c r="F97" s="6" t="inlineStr">
        <is>
          <t>see Gold 1995-2005</t>
        </is>
      </c>
      <c r="G97" s="22">
        <f>'Gold 1995-2005'!E101*$P$1</f>
        <v/>
      </c>
      <c r="H97" s="26" t="n">
        <v>3.81</v>
      </c>
      <c r="I97" s="16">
        <f>IF(8=INDEX('Bonds calculation'!$L$6:$L$40,MATCH(B97,'Bonds calculation'!$A$6:$A$40,0)),INDEX('Bonds calculation'!$G$6:$G$40,MATCH(B97,'Bonds calculation'!$A$6:$A$40,0)),0)</f>
        <v/>
      </c>
    </row>
    <row r="98">
      <c r="A98" s="6" t="inlineStr">
        <is>
          <t>2003-09</t>
        </is>
      </c>
      <c r="B98" s="6" t="n">
        <v>2003</v>
      </c>
      <c r="C98" s="27" t="n">
        <v>1417.1</v>
      </c>
      <c r="D98" s="30" t="inlineStr">
        <is>
          <t>2003-09-30</t>
        </is>
      </c>
      <c r="E98" s="25" t="n"/>
      <c r="F98" s="6" t="inlineStr">
        <is>
          <t>see Gold 1995-2005</t>
        </is>
      </c>
      <c r="G98" s="22">
        <f>'Gold 1995-2005'!E102*$P$1</f>
        <v/>
      </c>
      <c r="H98" s="26" t="n">
        <v>3.81</v>
      </c>
      <c r="I98" s="16">
        <f>IF(9=INDEX('Bonds calculation'!$L$6:$L$40,MATCH(B98,'Bonds calculation'!$A$6:$A$40,0)),INDEX('Bonds calculation'!$G$6:$G$40,MATCH(B98,'Bonds calculation'!$A$6:$A$40,0)),0)</f>
        <v/>
      </c>
    </row>
    <row r="99">
      <c r="A99" s="6" t="inlineStr">
        <is>
          <t>2003-10</t>
        </is>
      </c>
      <c r="B99" s="6" t="n">
        <v>2003</v>
      </c>
      <c r="C99" s="27" t="n">
        <v>1555.9</v>
      </c>
      <c r="D99" s="30" t="inlineStr">
        <is>
          <t>2003-10-31</t>
        </is>
      </c>
      <c r="E99" s="25" t="n"/>
      <c r="F99" s="6" t="inlineStr">
        <is>
          <t>see Gold 1995-2005</t>
        </is>
      </c>
      <c r="G99" s="22">
        <f>'Gold 1995-2005'!E103*$P$1</f>
        <v/>
      </c>
      <c r="H99" s="26" t="n">
        <v>3.81</v>
      </c>
      <c r="I99" s="16">
        <f>IF(10=INDEX('Bonds calculation'!$L$6:$L$40,MATCH(B99,'Bonds calculation'!$A$6:$A$40,0)),INDEX('Bonds calculation'!$G$6:$G$40,MATCH(B99,'Bonds calculation'!$A$6:$A$40,0)),0)</f>
        <v/>
      </c>
    </row>
    <row r="100">
      <c r="A100" s="6" t="inlineStr">
        <is>
          <t>2003-11</t>
        </is>
      </c>
      <c r="B100" s="6" t="n">
        <v>2003</v>
      </c>
      <c r="C100" s="27" t="n">
        <v>1615.25</v>
      </c>
      <c r="D100" s="30" t="inlineStr">
        <is>
          <t>2003-11-28</t>
        </is>
      </c>
      <c r="E100" s="25" t="n"/>
      <c r="F100" s="6" t="inlineStr">
        <is>
          <t>see Gold 1995-2005</t>
        </is>
      </c>
      <c r="G100" s="22">
        <f>'Gold 1995-2005'!E104*$P$1</f>
        <v/>
      </c>
      <c r="H100" s="26" t="n">
        <v>3.81</v>
      </c>
      <c r="I100" s="16">
        <f>IF(11=INDEX('Bonds calculation'!$L$6:$L$40,MATCH(B100,'Bonds calculation'!$A$6:$A$40,0)),INDEX('Bonds calculation'!$G$6:$G$40,MATCH(B100,'Bonds calculation'!$A$6:$A$40,0)),0)</f>
        <v/>
      </c>
    </row>
    <row r="101">
      <c r="A101" s="6" t="inlineStr">
        <is>
          <t>2003-12</t>
        </is>
      </c>
      <c r="B101" s="6" t="n">
        <v>2003</v>
      </c>
      <c r="C101" s="27" t="n">
        <v>1879.75</v>
      </c>
      <c r="D101" s="30" t="inlineStr">
        <is>
          <t>2003-12-31</t>
        </is>
      </c>
      <c r="E101" s="25" t="n"/>
      <c r="F101" s="6" t="inlineStr">
        <is>
          <t>see Gold 1995-2005</t>
        </is>
      </c>
      <c r="G101" s="22">
        <f>'Gold 1995-2005'!E105*$P$1</f>
        <v/>
      </c>
      <c r="H101" s="26" t="n">
        <v>3.81</v>
      </c>
      <c r="I101" s="16">
        <f>IF(12=INDEX('Bonds calculation'!$L$6:$L$40,MATCH(B101,'Bonds calculation'!$A$6:$A$40,0)),INDEX('Bonds calculation'!$G$6:$G$40,MATCH(B101,'Bonds calculation'!$A$6:$A$40,0)),0)</f>
        <v/>
      </c>
    </row>
    <row r="102">
      <c r="A102" s="6" t="inlineStr">
        <is>
          <t>2004-01</t>
        </is>
      </c>
      <c r="B102" s="6" t="n">
        <v>2004</v>
      </c>
      <c r="C102" s="27" t="n">
        <v>1809.75</v>
      </c>
      <c r="D102" s="30" t="inlineStr">
        <is>
          <t>2004-01-30</t>
        </is>
      </c>
      <c r="E102" s="25" t="n"/>
      <c r="F102" s="6" t="inlineStr">
        <is>
          <t>see Gold 1995-2005</t>
        </is>
      </c>
      <c r="G102" s="22">
        <f>'Gold 1995-2005'!E106*$P$1</f>
        <v/>
      </c>
      <c r="H102" s="26" t="n">
        <v>3.77</v>
      </c>
      <c r="I102" s="16">
        <f>IF(1=INDEX('Bonds calculation'!$L$6:$L$40,MATCH(B102,'Bonds calculation'!$A$6:$A$40,0)),INDEX('Bonds calculation'!$G$6:$G$40,MATCH(B102,'Bonds calculation'!$A$6:$A$40,0)),0)</f>
        <v/>
      </c>
    </row>
    <row r="103">
      <c r="A103" s="6" t="inlineStr">
        <is>
          <t>2004-02</t>
        </is>
      </c>
      <c r="B103" s="6" t="n">
        <v>2004</v>
      </c>
      <c r="C103" s="27" t="n">
        <v>1800.3</v>
      </c>
      <c r="D103" s="30" t="inlineStr">
        <is>
          <t>2004-02-27</t>
        </is>
      </c>
      <c r="E103" s="25" t="n"/>
      <c r="F103" s="6" t="inlineStr">
        <is>
          <t>see Gold 1995-2005</t>
        </is>
      </c>
      <c r="G103" s="22">
        <f>'Gold 1995-2005'!E107*$P$1</f>
        <v/>
      </c>
      <c r="H103" s="26" t="n">
        <v>3.77</v>
      </c>
      <c r="I103" s="16">
        <f>IF(2=INDEX('Bonds calculation'!$L$6:$L$40,MATCH(B103,'Bonds calculation'!$A$6:$A$40,0)),INDEX('Bonds calculation'!$G$6:$G$40,MATCH(B103,'Bonds calculation'!$A$6:$A$40,0)),0)</f>
        <v/>
      </c>
    </row>
    <row r="104">
      <c r="A104" s="6" t="inlineStr">
        <is>
          <t>2004-03</t>
        </is>
      </c>
      <c r="B104" s="6" t="n">
        <v>2004</v>
      </c>
      <c r="C104" s="27" t="n">
        <v>1771.9</v>
      </c>
      <c r="D104" s="30" t="inlineStr">
        <is>
          <t>2004-03-31</t>
        </is>
      </c>
      <c r="E104" s="25" t="n"/>
      <c r="F104" s="6" t="inlineStr">
        <is>
          <t>see Gold 1995-2005</t>
        </is>
      </c>
      <c r="G104" s="22">
        <f>'Gold 1995-2005'!E108*$P$1</f>
        <v/>
      </c>
      <c r="H104" s="26" t="n">
        <v>3.77</v>
      </c>
      <c r="I104" s="16">
        <f>IF(3=INDEX('Bonds calculation'!$L$6:$L$40,MATCH(B104,'Bonds calculation'!$A$6:$A$40,0)),INDEX('Bonds calculation'!$G$6:$G$40,MATCH(B104,'Bonds calculation'!$A$6:$A$40,0)),0)</f>
        <v/>
      </c>
    </row>
    <row r="105">
      <c r="A105" s="6" t="inlineStr">
        <is>
          <t>2004-04</t>
        </is>
      </c>
      <c r="B105" s="6" t="n">
        <v>2004</v>
      </c>
      <c r="C105" s="27" t="n">
        <v>1796.1</v>
      </c>
      <c r="D105" s="30" t="inlineStr">
        <is>
          <t>2004-04-30</t>
        </is>
      </c>
      <c r="E105" s="25" t="n"/>
      <c r="F105" s="6" t="inlineStr">
        <is>
          <t>see Gold 1995-2005</t>
        </is>
      </c>
      <c r="G105" s="22">
        <f>'Gold 1995-2005'!E109*$P$1</f>
        <v/>
      </c>
      <c r="H105" s="26" t="n">
        <v>3.77</v>
      </c>
      <c r="I105" s="16">
        <f>IF(4=INDEX('Bonds calculation'!$L$6:$L$40,MATCH(B105,'Bonds calculation'!$A$6:$A$40,0)),INDEX('Bonds calculation'!$G$6:$G$40,MATCH(B105,'Bonds calculation'!$A$6:$A$40,0)),0)</f>
        <v/>
      </c>
    </row>
    <row r="106">
      <c r="A106" s="6" t="inlineStr">
        <is>
          <t>2004-05</t>
        </is>
      </c>
      <c r="B106" s="6" t="n">
        <v>2004</v>
      </c>
      <c r="C106" s="27" t="n">
        <v>1483.6</v>
      </c>
      <c r="D106" s="30" t="inlineStr">
        <is>
          <t>2004-05-31</t>
        </is>
      </c>
      <c r="E106" s="25" t="n"/>
      <c r="F106" s="6" t="inlineStr">
        <is>
          <t>see Gold 1995-2005</t>
        </is>
      </c>
      <c r="G106" s="22">
        <f>'Gold 1995-2005'!E110*$P$1</f>
        <v/>
      </c>
      <c r="H106" s="26" t="n">
        <v>3.77</v>
      </c>
      <c r="I106" s="16">
        <f>IF(5=INDEX('Bonds calculation'!$L$6:$L$40,MATCH(B106,'Bonds calculation'!$A$6:$A$40,0)),INDEX('Bonds calculation'!$G$6:$G$40,MATCH(B106,'Bonds calculation'!$A$6:$A$40,0)),0)</f>
        <v/>
      </c>
    </row>
    <row r="107">
      <c r="A107" s="6" t="inlineStr">
        <is>
          <t>2004-06</t>
        </is>
      </c>
      <c r="B107" s="6" t="n">
        <v>2004</v>
      </c>
      <c r="C107" s="27" t="n">
        <v>1505.6</v>
      </c>
      <c r="D107" s="30" t="inlineStr">
        <is>
          <t>2004-06-30</t>
        </is>
      </c>
      <c r="E107" s="25" t="n"/>
      <c r="F107" s="6" t="inlineStr">
        <is>
          <t>see Gold 1995-2005</t>
        </is>
      </c>
      <c r="G107" s="22">
        <f>'Gold 1995-2005'!E111*$P$1</f>
        <v/>
      </c>
      <c r="H107" s="26" t="n">
        <v>3.77</v>
      </c>
      <c r="I107" s="16">
        <f>IF(6=INDEX('Bonds calculation'!$L$6:$L$40,MATCH(B107,'Bonds calculation'!$A$6:$A$40,0)),INDEX('Bonds calculation'!$G$6:$G$40,MATCH(B107,'Bonds calculation'!$A$6:$A$40,0)),0)</f>
        <v/>
      </c>
    </row>
    <row r="108">
      <c r="A108" s="6" t="inlineStr">
        <is>
          <t>2004-07</t>
        </is>
      </c>
      <c r="B108" s="6" t="n">
        <v>2004</v>
      </c>
      <c r="C108" s="27" t="n">
        <v>1632.3</v>
      </c>
      <c r="D108" s="30" t="inlineStr">
        <is>
          <t>2004-07-30</t>
        </is>
      </c>
      <c r="E108" s="25" t="n"/>
      <c r="F108" s="6" t="inlineStr">
        <is>
          <t>see Gold 1995-2005</t>
        </is>
      </c>
      <c r="G108" s="22">
        <f>'Gold 1995-2005'!E112*$P$1</f>
        <v/>
      </c>
      <c r="H108" s="26" t="n">
        <v>3.77</v>
      </c>
      <c r="I108" s="16">
        <f>IF(7=INDEX('Bonds calculation'!$L$6:$L$40,MATCH(B108,'Bonds calculation'!$A$6:$A$40,0)),INDEX('Bonds calculation'!$G$6:$G$40,MATCH(B108,'Bonds calculation'!$A$6:$A$40,0)),0)</f>
        <v/>
      </c>
    </row>
    <row r="109">
      <c r="A109" s="6" t="inlineStr">
        <is>
          <t>2004-08</t>
        </is>
      </c>
      <c r="B109" s="6" t="n">
        <v>2004</v>
      </c>
      <c r="C109" s="27" t="n">
        <v>1631.75</v>
      </c>
      <c r="D109" s="30" t="inlineStr">
        <is>
          <t>2004-08-31</t>
        </is>
      </c>
      <c r="E109" s="25" t="n"/>
      <c r="F109" s="6" t="inlineStr">
        <is>
          <t>see Gold 1995-2005</t>
        </is>
      </c>
      <c r="G109" s="22">
        <f>'Gold 1995-2005'!E113*$P$1</f>
        <v/>
      </c>
      <c r="H109" s="26" t="n">
        <v>3.77</v>
      </c>
      <c r="I109" s="16">
        <f>IF(8=INDEX('Bonds calculation'!$L$6:$L$40,MATCH(B109,'Bonds calculation'!$A$6:$A$40,0)),INDEX('Bonds calculation'!$G$6:$G$40,MATCH(B109,'Bonds calculation'!$A$6:$A$40,0)),0)</f>
        <v/>
      </c>
    </row>
    <row r="110">
      <c r="A110" s="6" t="inlineStr">
        <is>
          <t>2004-09</t>
        </is>
      </c>
      <c r="B110" s="6" t="n">
        <v>2004</v>
      </c>
      <c r="C110" s="27" t="n">
        <v>1745.5</v>
      </c>
      <c r="D110" s="30" t="inlineStr">
        <is>
          <t>2004-09-30</t>
        </is>
      </c>
      <c r="E110" s="25" t="n"/>
      <c r="F110" s="6" t="inlineStr">
        <is>
          <t>see Gold 1995-2005</t>
        </is>
      </c>
      <c r="G110" s="22">
        <f>'Gold 1995-2005'!E114*$P$1</f>
        <v/>
      </c>
      <c r="H110" s="26" t="n">
        <v>3.77</v>
      </c>
      <c r="I110" s="16">
        <f>IF(9=INDEX('Bonds calculation'!$L$6:$L$40,MATCH(B110,'Bonds calculation'!$A$6:$A$40,0)),INDEX('Bonds calculation'!$G$6:$G$40,MATCH(B110,'Bonds calculation'!$A$6:$A$40,0)),0)</f>
        <v/>
      </c>
    </row>
    <row r="111">
      <c r="A111" s="6" t="inlineStr">
        <is>
          <t>2004-10</t>
        </is>
      </c>
      <c r="B111" s="6" t="n">
        <v>2004</v>
      </c>
      <c r="C111" s="27" t="n">
        <v>1786.9</v>
      </c>
      <c r="D111" s="30" t="inlineStr">
        <is>
          <t>2004-10-29</t>
        </is>
      </c>
      <c r="E111" s="25" t="n"/>
      <c r="F111" s="6" t="inlineStr">
        <is>
          <t>see Gold 1995-2005</t>
        </is>
      </c>
      <c r="G111" s="22">
        <f>'Gold 1995-2005'!E115*$P$1</f>
        <v/>
      </c>
      <c r="H111" s="26" t="n">
        <v>3.77</v>
      </c>
      <c r="I111" s="16">
        <f>IF(10=INDEX('Bonds calculation'!$L$6:$L$40,MATCH(B111,'Bonds calculation'!$A$6:$A$40,0)),INDEX('Bonds calculation'!$G$6:$G$40,MATCH(B111,'Bonds calculation'!$A$6:$A$40,0)),0)</f>
        <v/>
      </c>
    </row>
    <row r="112">
      <c r="A112" s="6" t="inlineStr">
        <is>
          <t>2004-11</t>
        </is>
      </c>
      <c r="B112" s="6" t="n">
        <v>2004</v>
      </c>
      <c r="C112" s="27" t="n">
        <v>1958.8</v>
      </c>
      <c r="D112" s="30" t="inlineStr">
        <is>
          <t>2004-11-30</t>
        </is>
      </c>
      <c r="E112" s="25" t="n"/>
      <c r="F112" s="6" t="inlineStr">
        <is>
          <t>see Gold 1995-2005</t>
        </is>
      </c>
      <c r="G112" s="22">
        <f>'Gold 1995-2005'!E116*$P$1</f>
        <v/>
      </c>
      <c r="H112" s="26" t="n">
        <v>3.77</v>
      </c>
      <c r="I112" s="16">
        <f>IF(11=INDEX('Bonds calculation'!$L$6:$L$40,MATCH(B112,'Bonds calculation'!$A$6:$A$40,0)),INDEX('Bonds calculation'!$G$6:$G$40,MATCH(B112,'Bonds calculation'!$A$6:$A$40,0)),0)</f>
        <v/>
      </c>
    </row>
    <row r="113">
      <c r="A113" s="6" t="inlineStr">
        <is>
          <t>2004-12</t>
        </is>
      </c>
      <c r="B113" s="6" t="n">
        <v>2004</v>
      </c>
      <c r="C113" s="27" t="n">
        <v>2080.5</v>
      </c>
      <c r="D113" s="30" t="inlineStr">
        <is>
          <t>2004-12-31</t>
        </is>
      </c>
      <c r="E113" s="25" t="n"/>
      <c r="F113" s="6" t="inlineStr">
        <is>
          <t>see Gold 1995-2005</t>
        </is>
      </c>
      <c r="G113" s="22">
        <f>'Gold 1995-2005'!E117*$P$1</f>
        <v/>
      </c>
      <c r="H113" s="26" t="n">
        <v>3.77</v>
      </c>
      <c r="I113" s="16">
        <f>IF(12=INDEX('Bonds calculation'!$L$6:$L$40,MATCH(B113,'Bonds calculation'!$A$6:$A$40,0)),INDEX('Bonds calculation'!$G$6:$G$40,MATCH(B113,'Bonds calculation'!$A$6:$A$40,0)),0)</f>
        <v/>
      </c>
    </row>
    <row r="114">
      <c r="A114" s="6" t="inlineStr">
        <is>
          <t>2005-01</t>
        </is>
      </c>
      <c r="B114" s="6" t="n">
        <v>2005</v>
      </c>
      <c r="C114" s="27" t="n">
        <v>2057.6</v>
      </c>
      <c r="D114" s="30" t="inlineStr">
        <is>
          <t>2005-01-31</t>
        </is>
      </c>
      <c r="E114" s="25" t="n"/>
      <c r="F114" s="6" t="inlineStr">
        <is>
          <t>see Gold 1995-2005</t>
        </is>
      </c>
      <c r="G114" s="22">
        <f>'Gold 1995-2005'!E118*$P$1</f>
        <v/>
      </c>
      <c r="H114" s="26" t="n">
        <v>4.25</v>
      </c>
      <c r="I114" s="16">
        <f>IF(1=INDEX('Bonds calculation'!$L$6:$L$40,MATCH(B114,'Bonds calculation'!$A$6:$A$40,0)),INDEX('Bonds calculation'!$G$6:$G$40,MATCH(B114,'Bonds calculation'!$A$6:$A$40,0)),0)</f>
        <v/>
      </c>
    </row>
    <row r="115">
      <c r="A115" s="6" t="inlineStr">
        <is>
          <t>2005-02</t>
        </is>
      </c>
      <c r="B115" s="6" t="n">
        <v>2005</v>
      </c>
      <c r="C115" s="27" t="n">
        <v>2103.25</v>
      </c>
      <c r="D115" s="30" t="inlineStr">
        <is>
          <t>2005-02-28</t>
        </is>
      </c>
      <c r="E115" s="25" t="n"/>
      <c r="F115" s="6" t="inlineStr">
        <is>
          <t>see Gold 1995-2005</t>
        </is>
      </c>
      <c r="G115" s="22">
        <f>'Gold 1995-2005'!E119*$P$1</f>
        <v/>
      </c>
      <c r="H115" s="26" t="n">
        <v>4.25</v>
      </c>
      <c r="I115" s="16">
        <f>IF(2=INDEX('Bonds calculation'!$L$6:$L$40,MATCH(B115,'Bonds calculation'!$A$6:$A$40,0)),INDEX('Bonds calculation'!$G$6:$G$40,MATCH(B115,'Bonds calculation'!$A$6:$A$40,0)),0)</f>
        <v/>
      </c>
    </row>
    <row r="116">
      <c r="A116" s="6" t="inlineStr">
        <is>
          <t>2005-03</t>
        </is>
      </c>
      <c r="B116" s="6" t="n">
        <v>2005</v>
      </c>
      <c r="C116" s="27" t="n">
        <v>2035.65</v>
      </c>
      <c r="D116" s="30" t="inlineStr">
        <is>
          <t>2005-03-31</t>
        </is>
      </c>
      <c r="E116" s="25" t="n"/>
      <c r="F116" s="6" t="inlineStr">
        <is>
          <t>see Gold 1995-2005</t>
        </is>
      </c>
      <c r="G116" s="22">
        <f>'Gold 1995-2005'!E120*$P$1</f>
        <v/>
      </c>
      <c r="H116" s="26" t="n">
        <v>4.25</v>
      </c>
      <c r="I116" s="16">
        <f>IF(3=INDEX('Bonds calculation'!$L$6:$L$40,MATCH(B116,'Bonds calculation'!$A$6:$A$40,0)),INDEX('Bonds calculation'!$G$6:$G$40,MATCH(B116,'Bonds calculation'!$A$6:$A$40,0)),0)</f>
        <v/>
      </c>
    </row>
    <row r="117">
      <c r="A117" s="6" t="inlineStr">
        <is>
          <t>2005-04</t>
        </is>
      </c>
      <c r="B117" s="6" t="n">
        <v>2005</v>
      </c>
      <c r="C117" s="27" t="n">
        <v>1902.5</v>
      </c>
      <c r="D117" s="30" t="inlineStr">
        <is>
          <t>2005-04-29</t>
        </is>
      </c>
      <c r="E117" s="25" t="n"/>
      <c r="F117" s="6" t="inlineStr">
        <is>
          <t>see Gold 1995-2005</t>
        </is>
      </c>
      <c r="G117" s="22">
        <f>'Gold 1995-2005'!E121*$P$1</f>
        <v/>
      </c>
      <c r="H117" s="26" t="n">
        <v>4.25</v>
      </c>
      <c r="I117" s="16">
        <f>IF(4=INDEX('Bonds calculation'!$L$6:$L$40,MATCH(B117,'Bonds calculation'!$A$6:$A$40,0)),INDEX('Bonds calculation'!$G$6:$G$40,MATCH(B117,'Bonds calculation'!$A$6:$A$40,0)),0)</f>
        <v/>
      </c>
    </row>
    <row r="118">
      <c r="A118" s="6" t="inlineStr">
        <is>
          <t>2005-05</t>
        </is>
      </c>
      <c r="B118" s="6" t="n">
        <v>2005</v>
      </c>
      <c r="C118" s="27" t="n">
        <v>2087.55</v>
      </c>
      <c r="D118" s="30" t="inlineStr">
        <is>
          <t>2005-05-31</t>
        </is>
      </c>
      <c r="E118" s="25" t="n"/>
      <c r="F118" s="6" t="inlineStr">
        <is>
          <t>see Gold 1995-2005</t>
        </is>
      </c>
      <c r="G118" s="22">
        <f>'Gold 1995-2005'!E122*$P$1</f>
        <v/>
      </c>
      <c r="H118" s="26" t="n">
        <v>4.25</v>
      </c>
      <c r="I118" s="16">
        <f>IF(5=INDEX('Bonds calculation'!$L$6:$L$40,MATCH(B118,'Bonds calculation'!$A$6:$A$40,0)),INDEX('Bonds calculation'!$G$6:$G$40,MATCH(B118,'Bonds calculation'!$A$6:$A$40,0)),0)</f>
        <v/>
      </c>
    </row>
    <row r="119">
      <c r="A119" s="6" t="inlineStr">
        <is>
          <t>2005-06</t>
        </is>
      </c>
      <c r="B119" s="6" t="n">
        <v>2005</v>
      </c>
      <c r="C119" s="27" t="n">
        <v>2220.6</v>
      </c>
      <c r="D119" s="30" t="inlineStr">
        <is>
          <t>2005-06-30</t>
        </is>
      </c>
      <c r="E119" s="27" t="n">
        <v>6240</v>
      </c>
      <c r="F119" s="30" t="inlineStr">
        <is>
          <t>2005-06-30</t>
        </is>
      </c>
      <c r="G119" s="22">
        <f>E119/10*$P$1</f>
        <v/>
      </c>
      <c r="H119" s="26" t="n">
        <v>4.25</v>
      </c>
      <c r="I119" s="16">
        <f>IF(6=INDEX('Bonds calculation'!$L$6:$L$40,MATCH(B119,'Bonds calculation'!$A$6:$A$40,0)),INDEX('Bonds calculation'!$G$6:$G$40,MATCH(B119,'Bonds calculation'!$A$6:$A$40,0)),0)</f>
        <v/>
      </c>
    </row>
    <row r="120">
      <c r="A120" s="6" t="inlineStr">
        <is>
          <t>2005-07</t>
        </is>
      </c>
      <c r="B120" s="6" t="n">
        <v>2005</v>
      </c>
      <c r="C120" s="27" t="n">
        <v>2312.3</v>
      </c>
      <c r="D120" s="30" t="inlineStr">
        <is>
          <t>2005-07-29</t>
        </is>
      </c>
      <c r="E120" s="27" t="n">
        <v>6140</v>
      </c>
      <c r="F120" s="30" t="inlineStr">
        <is>
          <t>2005-07-30</t>
        </is>
      </c>
      <c r="G120" s="22">
        <f>E120/10*$P$1</f>
        <v/>
      </c>
      <c r="H120" s="26" t="n">
        <v>4.25</v>
      </c>
      <c r="I120" s="16">
        <f>IF(7=INDEX('Bonds calculation'!$L$6:$L$40,MATCH(B120,'Bonds calculation'!$A$6:$A$40,0)),INDEX('Bonds calculation'!$G$6:$G$40,MATCH(B120,'Bonds calculation'!$A$6:$A$40,0)),0)</f>
        <v/>
      </c>
    </row>
    <row r="121">
      <c r="A121" s="6" t="inlineStr">
        <is>
          <t>2005-08</t>
        </is>
      </c>
      <c r="B121" s="6" t="n">
        <v>2005</v>
      </c>
      <c r="C121" s="27" t="n">
        <v>2384.65</v>
      </c>
      <c r="D121" s="30" t="inlineStr">
        <is>
          <t>2005-08-31</t>
        </is>
      </c>
      <c r="E121" s="27" t="n">
        <v>6270</v>
      </c>
      <c r="F121" s="30" t="inlineStr">
        <is>
          <t>2005-08-31</t>
        </is>
      </c>
      <c r="G121" s="22">
        <f>E121/10*$P$1</f>
        <v/>
      </c>
      <c r="H121" s="26" t="n">
        <v>4.25</v>
      </c>
      <c r="I121" s="16">
        <f>IF(8=INDEX('Bonds calculation'!$L$6:$L$40,MATCH(B121,'Bonds calculation'!$A$6:$A$40,0)),INDEX('Bonds calculation'!$G$6:$G$40,MATCH(B121,'Bonds calculation'!$A$6:$A$40,0)),0)</f>
        <v/>
      </c>
    </row>
    <row r="122">
      <c r="A122" s="6" t="inlineStr">
        <is>
          <t>2005-09</t>
        </is>
      </c>
      <c r="B122" s="6" t="n">
        <v>2005</v>
      </c>
      <c r="C122" s="27" t="n">
        <v>2601.4</v>
      </c>
      <c r="D122" s="30" t="inlineStr">
        <is>
          <t>2005-09-30</t>
        </is>
      </c>
      <c r="E122" s="27" t="n">
        <v>6775</v>
      </c>
      <c r="F122" s="30" t="inlineStr">
        <is>
          <t>2005-09-30</t>
        </is>
      </c>
      <c r="G122" s="22">
        <f>E122/10*$P$1</f>
        <v/>
      </c>
      <c r="H122" s="26" t="n">
        <v>4.25</v>
      </c>
      <c r="I122" s="16">
        <f>IF(9=INDEX('Bonds calculation'!$L$6:$L$40,MATCH(B122,'Bonds calculation'!$A$6:$A$40,0)),INDEX('Bonds calculation'!$G$6:$G$40,MATCH(B122,'Bonds calculation'!$A$6:$A$40,0)),0)</f>
        <v/>
      </c>
    </row>
    <row r="123">
      <c r="A123" s="6" t="inlineStr">
        <is>
          <t>2005-10</t>
        </is>
      </c>
      <c r="B123" s="6" t="n">
        <v>2005</v>
      </c>
      <c r="C123" s="27" t="n">
        <v>2370.95</v>
      </c>
      <c r="D123" s="30" t="inlineStr">
        <is>
          <t>2005-10-31</t>
        </is>
      </c>
      <c r="E123" s="27" t="n">
        <v>6990</v>
      </c>
      <c r="F123" s="30" t="inlineStr">
        <is>
          <t>2005-10-31</t>
        </is>
      </c>
      <c r="G123" s="22">
        <f>E123/10*$P$1</f>
        <v/>
      </c>
      <c r="H123" s="26" t="n">
        <v>4.25</v>
      </c>
      <c r="I123" s="16">
        <f>IF(10=INDEX('Bonds calculation'!$L$6:$L$40,MATCH(B123,'Bonds calculation'!$A$6:$A$40,0)),INDEX('Bonds calculation'!$G$6:$G$40,MATCH(B123,'Bonds calculation'!$A$6:$A$40,0)),0)</f>
        <v/>
      </c>
    </row>
    <row r="124">
      <c r="A124" s="6" t="inlineStr">
        <is>
          <t>2005-11</t>
        </is>
      </c>
      <c r="B124" s="6" t="n">
        <v>2005</v>
      </c>
      <c r="C124" s="27" t="n">
        <v>2652.25</v>
      </c>
      <c r="D124" s="30" t="inlineStr">
        <is>
          <t>2005-11-30</t>
        </is>
      </c>
      <c r="E124" s="27" t="n">
        <v>7430</v>
      </c>
      <c r="F124" s="30" t="inlineStr">
        <is>
          <t>2005-11-30</t>
        </is>
      </c>
      <c r="G124" s="22">
        <f>E124/10*$P$1</f>
        <v/>
      </c>
      <c r="H124" s="26" t="n">
        <v>4.25</v>
      </c>
      <c r="I124" s="16">
        <f>IF(11=INDEX('Bonds calculation'!$L$6:$L$40,MATCH(B124,'Bonds calculation'!$A$6:$A$40,0)),INDEX('Bonds calculation'!$G$6:$G$40,MATCH(B124,'Bonds calculation'!$A$6:$A$40,0)),0)</f>
        <v/>
      </c>
    </row>
    <row r="125">
      <c r="A125" s="6" t="inlineStr">
        <is>
          <t>2005-12</t>
        </is>
      </c>
      <c r="B125" s="6" t="n">
        <v>2005</v>
      </c>
      <c r="C125" s="27" t="n">
        <v>2836.55</v>
      </c>
      <c r="D125" s="30" t="inlineStr">
        <is>
          <t>2005-12-30</t>
        </is>
      </c>
      <c r="E125" s="27" t="n">
        <v>7635</v>
      </c>
      <c r="F125" s="30" t="inlineStr">
        <is>
          <t>2005-12-31</t>
        </is>
      </c>
      <c r="G125" s="22">
        <f>E125/10*$P$1</f>
        <v/>
      </c>
      <c r="H125" s="26" t="n">
        <v>4.25</v>
      </c>
      <c r="I125" s="16">
        <f>IF(12=INDEX('Bonds calculation'!$L$6:$L$40,MATCH(B125,'Bonds calculation'!$A$6:$A$40,0)),INDEX('Bonds calculation'!$G$6:$G$40,MATCH(B125,'Bonds calculation'!$A$6:$A$40,0)),0)</f>
        <v/>
      </c>
    </row>
    <row r="126">
      <c r="A126" s="6" t="inlineStr">
        <is>
          <t>2006-01</t>
        </is>
      </c>
      <c r="B126" s="6" t="n">
        <v>2006</v>
      </c>
      <c r="C126" s="27" t="n">
        <v>3001.1</v>
      </c>
      <c r="D126" s="30" t="inlineStr">
        <is>
          <t>2006-01-31</t>
        </is>
      </c>
      <c r="E126" s="27" t="n">
        <v>8205</v>
      </c>
      <c r="F126" s="30" t="inlineStr">
        <is>
          <t>2006-01-31</t>
        </is>
      </c>
      <c r="G126" s="22">
        <f>E126/10*$P$1</f>
        <v/>
      </c>
      <c r="H126" s="26" t="n">
        <v>5.8</v>
      </c>
      <c r="I126" s="16">
        <f>IF(1=INDEX('Bonds calculation'!$L$6:$L$40,MATCH(B126,'Bonds calculation'!$A$6:$A$40,0)),INDEX('Bonds calculation'!$G$6:$G$40,MATCH(B126,'Bonds calculation'!$A$6:$A$40,0)),0)</f>
        <v/>
      </c>
    </row>
    <row r="127">
      <c r="A127" s="6" t="inlineStr">
        <is>
          <t>2006-02</t>
        </is>
      </c>
      <c r="B127" s="6" t="n">
        <v>2006</v>
      </c>
      <c r="C127" s="27" t="n">
        <v>3074.7</v>
      </c>
      <c r="D127" s="30" t="inlineStr">
        <is>
          <t>2006-02-28</t>
        </is>
      </c>
      <c r="E127" s="27" t="n">
        <v>8070</v>
      </c>
      <c r="F127" s="30" t="inlineStr">
        <is>
          <t>2006-02-28</t>
        </is>
      </c>
      <c r="G127" s="22">
        <f>E127/10*$P$1</f>
        <v/>
      </c>
      <c r="H127" s="26" t="n">
        <v>5.8</v>
      </c>
      <c r="I127" s="16">
        <f>IF(2=INDEX('Bonds calculation'!$L$6:$L$40,MATCH(B127,'Bonds calculation'!$A$6:$A$40,0)),INDEX('Bonds calculation'!$G$6:$G$40,MATCH(B127,'Bonds calculation'!$A$6:$A$40,0)),0)</f>
        <v/>
      </c>
    </row>
    <row r="128">
      <c r="A128" s="6" t="inlineStr">
        <is>
          <t>2006-03</t>
        </is>
      </c>
      <c r="B128" s="6" t="n">
        <v>2006</v>
      </c>
      <c r="C128" s="27" t="n">
        <v>3402.55</v>
      </c>
      <c r="D128" s="30" t="inlineStr">
        <is>
          <t>2006-03-31</t>
        </is>
      </c>
      <c r="E128" s="27" t="n">
        <v>8515</v>
      </c>
      <c r="F128" s="30" t="inlineStr">
        <is>
          <t>2006-03-31</t>
        </is>
      </c>
      <c r="G128" s="22">
        <f>E128/10*$P$1</f>
        <v/>
      </c>
      <c r="H128" s="26" t="n">
        <v>5.8</v>
      </c>
      <c r="I128" s="16">
        <f>IF(3=INDEX('Bonds calculation'!$L$6:$L$40,MATCH(B128,'Bonds calculation'!$A$6:$A$40,0)),INDEX('Bonds calculation'!$G$6:$G$40,MATCH(B128,'Bonds calculation'!$A$6:$A$40,0)),0)</f>
        <v/>
      </c>
    </row>
    <row r="129">
      <c r="A129" s="6" t="inlineStr">
        <is>
          <t>2006-04</t>
        </is>
      </c>
      <c r="B129" s="6" t="n">
        <v>2006</v>
      </c>
      <c r="C129" s="27" t="n">
        <v>3508.35</v>
      </c>
      <c r="D129" s="30" t="inlineStr">
        <is>
          <t>2006-04-28</t>
        </is>
      </c>
      <c r="E129" s="27" t="n">
        <v>9520</v>
      </c>
      <c r="F129" s="30" t="inlineStr">
        <is>
          <t>2006-04-29</t>
        </is>
      </c>
      <c r="G129" s="22">
        <f>E129/10*$P$1</f>
        <v/>
      </c>
      <c r="H129" s="26" t="n">
        <v>5.8</v>
      </c>
      <c r="I129" s="16">
        <f>IF(4=INDEX('Bonds calculation'!$L$6:$L$40,MATCH(B129,'Bonds calculation'!$A$6:$A$40,0)),INDEX('Bonds calculation'!$G$6:$G$40,MATCH(B129,'Bonds calculation'!$A$6:$A$40,0)),0)</f>
        <v/>
      </c>
    </row>
    <row r="130">
      <c r="A130" s="6" t="inlineStr">
        <is>
          <t>2006-05</t>
        </is>
      </c>
      <c r="B130" s="6" t="n">
        <v>2006</v>
      </c>
      <c r="C130" s="27" t="n">
        <v>3071.05</v>
      </c>
      <c r="D130" s="30" t="inlineStr">
        <is>
          <t>2006-05-31</t>
        </is>
      </c>
      <c r="E130" s="27" t="n">
        <v>9851</v>
      </c>
      <c r="F130" s="30" t="inlineStr">
        <is>
          <t>2006-05-31</t>
        </is>
      </c>
      <c r="G130" s="22">
        <f>E130/10*$P$1</f>
        <v/>
      </c>
      <c r="H130" s="26" t="n">
        <v>5.8</v>
      </c>
      <c r="I130" s="16">
        <f>IF(5=INDEX('Bonds calculation'!$L$6:$L$40,MATCH(B130,'Bonds calculation'!$A$6:$A$40,0)),INDEX('Bonds calculation'!$G$6:$G$40,MATCH(B130,'Bonds calculation'!$A$6:$A$40,0)),0)</f>
        <v/>
      </c>
    </row>
    <row r="131">
      <c r="A131" s="6" t="inlineStr">
        <is>
          <t>2006-06</t>
        </is>
      </c>
      <c r="B131" s="6" t="n">
        <v>2006</v>
      </c>
      <c r="C131" s="27" t="n">
        <v>3128.2</v>
      </c>
      <c r="D131" s="30" t="inlineStr">
        <is>
          <t>2006-06-30</t>
        </is>
      </c>
      <c r="E131" s="27" t="n">
        <v>8970</v>
      </c>
      <c r="F131" s="30" t="inlineStr">
        <is>
          <t>2006-06-30</t>
        </is>
      </c>
      <c r="G131" s="22">
        <f>E131/10*$P$1</f>
        <v/>
      </c>
      <c r="H131" s="26" t="n">
        <v>5.8</v>
      </c>
      <c r="I131" s="16">
        <f>IF(6=INDEX('Bonds calculation'!$L$6:$L$40,MATCH(B131,'Bonds calculation'!$A$6:$A$40,0)),INDEX('Bonds calculation'!$G$6:$G$40,MATCH(B131,'Bonds calculation'!$A$6:$A$40,0)),0)</f>
        <v/>
      </c>
    </row>
    <row r="132">
      <c r="A132" s="6" t="inlineStr">
        <is>
          <t>2006-07</t>
        </is>
      </c>
      <c r="B132" s="6" t="n">
        <v>2006</v>
      </c>
      <c r="C132" s="27" t="n">
        <v>3143.2</v>
      </c>
      <c r="D132" s="30" t="inlineStr">
        <is>
          <t>2006-07-31</t>
        </is>
      </c>
      <c r="E132" s="27" t="n">
        <v>9609</v>
      </c>
      <c r="F132" s="30" t="inlineStr">
        <is>
          <t>2006-07-31</t>
        </is>
      </c>
      <c r="G132" s="22">
        <f>E132/10*$P$1</f>
        <v/>
      </c>
      <c r="H132" s="26" t="n">
        <v>5.8</v>
      </c>
      <c r="I132" s="16">
        <f>IF(7=INDEX('Bonds calculation'!$L$6:$L$40,MATCH(B132,'Bonds calculation'!$A$6:$A$40,0)),INDEX('Bonds calculation'!$G$6:$G$40,MATCH(B132,'Bonds calculation'!$A$6:$A$40,0)),0)</f>
        <v/>
      </c>
    </row>
    <row r="133">
      <c r="A133" s="6" t="inlineStr">
        <is>
          <t>2006-08</t>
        </is>
      </c>
      <c r="B133" s="6" t="n">
        <v>2006</v>
      </c>
      <c r="C133" s="27" t="n">
        <v>3413.9</v>
      </c>
      <c r="D133" s="30" t="inlineStr">
        <is>
          <t>2006-08-31</t>
        </is>
      </c>
      <c r="E133" s="27" t="n">
        <v>9406</v>
      </c>
      <c r="F133" s="30" t="inlineStr">
        <is>
          <t>2006-08-31</t>
        </is>
      </c>
      <c r="G133" s="22">
        <f>E133/10*$P$1</f>
        <v/>
      </c>
      <c r="H133" s="26" t="n">
        <v>5.8</v>
      </c>
      <c r="I133" s="16">
        <f>IF(8=INDEX('Bonds calculation'!$L$6:$L$40,MATCH(B133,'Bonds calculation'!$A$6:$A$40,0)),INDEX('Bonds calculation'!$G$6:$G$40,MATCH(B133,'Bonds calculation'!$A$6:$A$40,0)),0)</f>
        <v/>
      </c>
    </row>
    <row r="134">
      <c r="A134" s="6" t="inlineStr">
        <is>
          <t>2006-09</t>
        </is>
      </c>
      <c r="B134" s="6" t="n">
        <v>2006</v>
      </c>
      <c r="C134" s="27" t="n">
        <v>3588.4</v>
      </c>
      <c r="D134" s="30" t="inlineStr">
        <is>
          <t>2006-09-29</t>
        </is>
      </c>
      <c r="E134" s="27" t="n">
        <v>8960</v>
      </c>
      <c r="F134" s="30" t="inlineStr">
        <is>
          <t>2006-09-30</t>
        </is>
      </c>
      <c r="G134" s="22">
        <f>E134/10*$P$1</f>
        <v/>
      </c>
      <c r="H134" s="26" t="n">
        <v>5.8</v>
      </c>
      <c r="I134" s="16">
        <f>IF(9=INDEX('Bonds calculation'!$L$6:$L$40,MATCH(B134,'Bonds calculation'!$A$6:$A$40,0)),INDEX('Bonds calculation'!$G$6:$G$40,MATCH(B134,'Bonds calculation'!$A$6:$A$40,0)),0)</f>
        <v/>
      </c>
    </row>
    <row r="135">
      <c r="A135" s="6" t="inlineStr">
        <is>
          <t>2006-10</t>
        </is>
      </c>
      <c r="B135" s="6" t="n">
        <v>2006</v>
      </c>
      <c r="C135" s="27" t="n">
        <v>3744.1</v>
      </c>
      <c r="D135" s="30" t="inlineStr">
        <is>
          <t>2006-10-31</t>
        </is>
      </c>
      <c r="E135" s="27" t="n">
        <v>8837</v>
      </c>
      <c r="F135" s="30" t="inlineStr">
        <is>
          <t>2006-10-31</t>
        </is>
      </c>
      <c r="G135" s="22">
        <f>E135/10*$P$1</f>
        <v/>
      </c>
      <c r="H135" s="26" t="n">
        <v>5.8</v>
      </c>
      <c r="I135" s="16">
        <f>IF(10=INDEX('Bonds calculation'!$L$6:$L$40,MATCH(B135,'Bonds calculation'!$A$6:$A$40,0)),INDEX('Bonds calculation'!$G$6:$G$40,MATCH(B135,'Bonds calculation'!$A$6:$A$40,0)),0)</f>
        <v/>
      </c>
    </row>
    <row r="136">
      <c r="A136" s="6" t="inlineStr">
        <is>
          <t>2006-11</t>
        </is>
      </c>
      <c r="B136" s="6" t="n">
        <v>2006</v>
      </c>
      <c r="C136" s="27" t="n">
        <v>3954.5</v>
      </c>
      <c r="D136" s="30" t="inlineStr">
        <is>
          <t>2006-11-30</t>
        </is>
      </c>
      <c r="E136" s="27" t="n">
        <v>9302</v>
      </c>
      <c r="F136" s="30" t="inlineStr">
        <is>
          <t>2006-11-30</t>
        </is>
      </c>
      <c r="G136" s="22">
        <f>E136/10*$P$1</f>
        <v/>
      </c>
      <c r="H136" s="26" t="n">
        <v>5.8</v>
      </c>
      <c r="I136" s="16">
        <f>IF(11=INDEX('Bonds calculation'!$L$6:$L$40,MATCH(B136,'Bonds calculation'!$A$6:$A$40,0)),INDEX('Bonds calculation'!$G$6:$G$40,MATCH(B136,'Bonds calculation'!$A$6:$A$40,0)),0)</f>
        <v/>
      </c>
    </row>
    <row r="137">
      <c r="A137" s="6" t="inlineStr">
        <is>
          <t>2006-12</t>
        </is>
      </c>
      <c r="B137" s="6" t="n">
        <v>2006</v>
      </c>
      <c r="C137" s="27" t="n">
        <v>3966.4</v>
      </c>
      <c r="D137" s="30" t="inlineStr">
        <is>
          <t>2006-12-29</t>
        </is>
      </c>
      <c r="E137" s="27" t="n">
        <v>9188</v>
      </c>
      <c r="F137" s="30" t="inlineStr">
        <is>
          <t>2006-12-30</t>
        </is>
      </c>
      <c r="G137" s="22">
        <f>E137/10*$P$1</f>
        <v/>
      </c>
      <c r="H137" s="26" t="n">
        <v>5.8</v>
      </c>
      <c r="I137" s="16">
        <f>IF(12=INDEX('Bonds calculation'!$L$6:$L$40,MATCH(B137,'Bonds calculation'!$A$6:$A$40,0)),INDEX('Bonds calculation'!$G$6:$G$40,MATCH(B137,'Bonds calculation'!$A$6:$A$40,0)),0)</f>
        <v/>
      </c>
    </row>
    <row r="138">
      <c r="A138" s="6" t="inlineStr">
        <is>
          <t>2007-01</t>
        </is>
      </c>
      <c r="B138" s="6" t="n">
        <v>2007</v>
      </c>
      <c r="C138" s="27" t="n">
        <v>4082.7</v>
      </c>
      <c r="D138" s="30" t="inlineStr">
        <is>
          <t>2007-01-31</t>
        </is>
      </c>
      <c r="E138" s="27" t="n">
        <v>9247</v>
      </c>
      <c r="F138" s="30" t="inlineStr">
        <is>
          <t>2007-01-31</t>
        </is>
      </c>
      <c r="G138" s="22">
        <f>E138/10*$P$1</f>
        <v/>
      </c>
      <c r="H138" s="26" t="n">
        <v>6.37</v>
      </c>
      <c r="I138" s="16">
        <f>IF(1=INDEX('Bonds calculation'!$L$6:$L$40,MATCH(B138,'Bonds calculation'!$A$6:$A$40,0)),INDEX('Bonds calculation'!$G$6:$G$40,MATCH(B138,'Bonds calculation'!$A$6:$A$40,0)),0)</f>
        <v/>
      </c>
    </row>
    <row r="139">
      <c r="A139" s="6" t="inlineStr">
        <is>
          <t>2007-02</t>
        </is>
      </c>
      <c r="B139" s="6" t="n">
        <v>2007</v>
      </c>
      <c r="C139" s="27" t="n">
        <v>3745.3</v>
      </c>
      <c r="D139" s="30" t="inlineStr">
        <is>
          <t>2007-02-28</t>
        </is>
      </c>
      <c r="E139" s="27" t="n">
        <v>9685</v>
      </c>
      <c r="F139" s="30" t="inlineStr">
        <is>
          <t>2007-02-28</t>
        </is>
      </c>
      <c r="G139" s="22">
        <f>E139/10*$P$1</f>
        <v/>
      </c>
      <c r="H139" s="26" t="n">
        <v>6.37</v>
      </c>
      <c r="I139" s="16">
        <f>IF(2=INDEX('Bonds calculation'!$L$6:$L$40,MATCH(B139,'Bonds calculation'!$A$6:$A$40,0)),INDEX('Bonds calculation'!$G$6:$G$40,MATCH(B139,'Bonds calculation'!$A$6:$A$40,0)),0)</f>
        <v/>
      </c>
    </row>
    <row r="140">
      <c r="A140" s="6" t="inlineStr">
        <is>
          <t>2007-03</t>
        </is>
      </c>
      <c r="B140" s="6" t="n">
        <v>2007</v>
      </c>
      <c r="C140" s="27" t="n">
        <v>3821.55</v>
      </c>
      <c r="D140" s="30" t="inlineStr">
        <is>
          <t>2007-03-30</t>
        </is>
      </c>
      <c r="E140" s="27" t="n">
        <v>9360</v>
      </c>
      <c r="F140" s="30" t="inlineStr">
        <is>
          <t>2007-03-30</t>
        </is>
      </c>
      <c r="G140" s="22">
        <f>E140/10*$P$1</f>
        <v/>
      </c>
      <c r="H140" s="26" t="n">
        <v>6.37</v>
      </c>
      <c r="I140" s="16">
        <f>IF(3=INDEX('Bonds calculation'!$L$6:$L$40,MATCH(B140,'Bonds calculation'!$A$6:$A$40,0)),INDEX('Bonds calculation'!$G$6:$G$40,MATCH(B140,'Bonds calculation'!$A$6:$A$40,0)),0)</f>
        <v/>
      </c>
    </row>
    <row r="141">
      <c r="A141" s="6" t="inlineStr">
        <is>
          <t>2007-04</t>
        </is>
      </c>
      <c r="B141" s="6" t="n">
        <v>2007</v>
      </c>
      <c r="C141" s="27" t="n">
        <v>4087.9</v>
      </c>
      <c r="D141" s="30" t="inlineStr">
        <is>
          <t>2007-04-30</t>
        </is>
      </c>
      <c r="E141" s="27" t="n">
        <v>9077</v>
      </c>
      <c r="F141" s="30" t="inlineStr">
        <is>
          <t>2007-04-30</t>
        </is>
      </c>
      <c r="G141" s="22">
        <f>E141/10*$P$1</f>
        <v/>
      </c>
      <c r="H141" s="26" t="n">
        <v>6.37</v>
      </c>
      <c r="I141" s="16">
        <f>IF(4=INDEX('Bonds calculation'!$L$6:$L$40,MATCH(B141,'Bonds calculation'!$A$6:$A$40,0)),INDEX('Bonds calculation'!$G$6:$G$40,MATCH(B141,'Bonds calculation'!$A$6:$A$40,0)),0)</f>
        <v/>
      </c>
    </row>
    <row r="142">
      <c r="A142" s="6" t="inlineStr">
        <is>
          <t>2007-05</t>
        </is>
      </c>
      <c r="B142" s="6" t="n">
        <v>2007</v>
      </c>
      <c r="C142" s="27" t="n">
        <v>4295.8</v>
      </c>
      <c r="D142" s="30" t="inlineStr">
        <is>
          <t>2007-05-31</t>
        </is>
      </c>
      <c r="E142" s="27" t="n">
        <v>8666</v>
      </c>
      <c r="F142" s="30" t="inlineStr">
        <is>
          <t>2007-05-31</t>
        </is>
      </c>
      <c r="G142" s="22">
        <f>E142/10*$P$1</f>
        <v/>
      </c>
      <c r="H142" s="26" t="n">
        <v>6.37</v>
      </c>
      <c r="I142" s="16">
        <f>IF(5=INDEX('Bonds calculation'!$L$6:$L$40,MATCH(B142,'Bonds calculation'!$A$6:$A$40,0)),INDEX('Bonds calculation'!$G$6:$G$40,MATCH(B142,'Bonds calculation'!$A$6:$A$40,0)),0)</f>
        <v/>
      </c>
    </row>
    <row r="143">
      <c r="A143" s="6" t="inlineStr">
        <is>
          <t>2007-06</t>
        </is>
      </c>
      <c r="B143" s="6" t="n">
        <v>2007</v>
      </c>
      <c r="C143" s="27" t="n">
        <v>4318.3</v>
      </c>
      <c r="D143" s="30" t="inlineStr">
        <is>
          <t>2007-06-29</t>
        </is>
      </c>
      <c r="E143" s="27" t="n">
        <v>8600</v>
      </c>
      <c r="F143" s="30" t="inlineStr">
        <is>
          <t>2007-06-29</t>
        </is>
      </c>
      <c r="G143" s="22">
        <f>E143/10*$P$1</f>
        <v/>
      </c>
      <c r="H143" s="26" t="n">
        <v>6.37</v>
      </c>
      <c r="I143" s="16">
        <f>IF(6=INDEX('Bonds calculation'!$L$6:$L$40,MATCH(B143,'Bonds calculation'!$A$6:$A$40,0)),INDEX('Bonds calculation'!$G$6:$G$40,MATCH(B143,'Bonds calculation'!$A$6:$A$40,0)),0)</f>
        <v/>
      </c>
    </row>
    <row r="144">
      <c r="A144" s="6" t="inlineStr">
        <is>
          <t>2007-07</t>
        </is>
      </c>
      <c r="B144" s="6" t="n">
        <v>2007</v>
      </c>
      <c r="C144" s="27" t="n">
        <v>4528.85</v>
      </c>
      <c r="D144" s="30" t="inlineStr">
        <is>
          <t>2007-07-31</t>
        </is>
      </c>
      <c r="E144" s="27" t="n">
        <v>8750</v>
      </c>
      <c r="F144" s="30" t="inlineStr">
        <is>
          <t>2007-07-31</t>
        </is>
      </c>
      <c r="G144" s="22">
        <f>E144/10*$P$1</f>
        <v/>
      </c>
      <c r="H144" s="26" t="n">
        <v>6.37</v>
      </c>
      <c r="I144" s="16">
        <f>IF(7=INDEX('Bonds calculation'!$L$6:$L$40,MATCH(B144,'Bonds calculation'!$A$6:$A$40,0)),INDEX('Bonds calculation'!$G$6:$G$40,MATCH(B144,'Bonds calculation'!$A$6:$A$40,0)),0)</f>
        <v/>
      </c>
    </row>
    <row r="145">
      <c r="A145" s="6" t="inlineStr">
        <is>
          <t>2007-08</t>
        </is>
      </c>
      <c r="B145" s="6" t="n">
        <v>2007</v>
      </c>
      <c r="C145" s="27" t="n">
        <v>4464</v>
      </c>
      <c r="D145" s="30" t="inlineStr">
        <is>
          <t>2007-08-31</t>
        </is>
      </c>
      <c r="E145" s="27" t="n">
        <v>8897</v>
      </c>
      <c r="F145" s="30" t="inlineStr">
        <is>
          <t>2007-08-31</t>
        </is>
      </c>
      <c r="G145" s="22">
        <f>E145/10*$P$1</f>
        <v/>
      </c>
      <c r="H145" s="26" t="n">
        <v>6.37</v>
      </c>
      <c r="I145" s="16">
        <f>IF(8=INDEX('Bonds calculation'!$L$6:$L$40,MATCH(B145,'Bonds calculation'!$A$6:$A$40,0)),INDEX('Bonds calculation'!$G$6:$G$40,MATCH(B145,'Bonds calculation'!$A$6:$A$40,0)),0)</f>
        <v/>
      </c>
    </row>
    <row r="146">
      <c r="A146" s="6" t="inlineStr">
        <is>
          <t>2007-09</t>
        </is>
      </c>
      <c r="B146" s="6" t="n">
        <v>2007</v>
      </c>
      <c r="C146" s="27" t="n">
        <v>5021.35</v>
      </c>
      <c r="D146" s="30" t="inlineStr">
        <is>
          <t>2007-09-28</t>
        </is>
      </c>
      <c r="E146" s="27" t="n">
        <v>9554</v>
      </c>
      <c r="F146" s="30" t="inlineStr">
        <is>
          <t>2007-09-29</t>
        </is>
      </c>
      <c r="G146" s="22">
        <f>E146/10*$P$1</f>
        <v/>
      </c>
      <c r="H146" s="26" t="n">
        <v>6.37</v>
      </c>
      <c r="I146" s="16">
        <f>IF(9=INDEX('Bonds calculation'!$L$6:$L$40,MATCH(B146,'Bonds calculation'!$A$6:$A$40,0)),INDEX('Bonds calculation'!$G$6:$G$40,MATCH(B146,'Bonds calculation'!$A$6:$A$40,0)),0)</f>
        <v/>
      </c>
    </row>
    <row r="147">
      <c r="A147" s="6" t="inlineStr">
        <is>
          <t>2007-10</t>
        </is>
      </c>
      <c r="B147" s="6" t="n">
        <v>2007</v>
      </c>
      <c r="C147" s="27" t="n">
        <v>5900.65</v>
      </c>
      <c r="D147" s="30" t="inlineStr">
        <is>
          <t>2007-10-31</t>
        </is>
      </c>
      <c r="E147" s="27" t="n">
        <v>9995</v>
      </c>
      <c r="F147" s="30" t="inlineStr">
        <is>
          <t>2007-10-31</t>
        </is>
      </c>
      <c r="G147" s="22">
        <f>E147/10*$P$1</f>
        <v/>
      </c>
      <c r="H147" s="26" t="n">
        <v>6.37</v>
      </c>
      <c r="I147" s="16">
        <f>IF(10=INDEX('Bonds calculation'!$L$6:$L$40,MATCH(B147,'Bonds calculation'!$A$6:$A$40,0)),INDEX('Bonds calculation'!$G$6:$G$40,MATCH(B147,'Bonds calculation'!$A$6:$A$40,0)),0)</f>
        <v/>
      </c>
    </row>
    <row r="148">
      <c r="A148" s="6" t="inlineStr">
        <is>
          <t>2007-11</t>
        </is>
      </c>
      <c r="B148" s="6" t="n">
        <v>2007</v>
      </c>
      <c r="C148" s="27" t="n">
        <v>5762.75</v>
      </c>
      <c r="D148" s="30" t="inlineStr">
        <is>
          <t>2007-11-30</t>
        </is>
      </c>
      <c r="E148" s="27" t="n">
        <v>10206</v>
      </c>
      <c r="F148" s="30" t="inlineStr">
        <is>
          <t>2007-11-30</t>
        </is>
      </c>
      <c r="G148" s="22">
        <f>E148/10*$P$1</f>
        <v/>
      </c>
      <c r="H148" s="26" t="n">
        <v>6.37</v>
      </c>
      <c r="I148" s="16">
        <f>IF(11=INDEX('Bonds calculation'!$L$6:$L$40,MATCH(B148,'Bonds calculation'!$A$6:$A$40,0)),INDEX('Bonds calculation'!$G$6:$G$40,MATCH(B148,'Bonds calculation'!$A$6:$A$40,0)),0)</f>
        <v/>
      </c>
    </row>
    <row r="149">
      <c r="A149" s="6" t="inlineStr">
        <is>
          <t>2007-12</t>
        </is>
      </c>
      <c r="B149" s="6" t="n">
        <v>2007</v>
      </c>
      <c r="C149" s="27" t="n">
        <v>6138.6</v>
      </c>
      <c r="D149" s="30" t="inlineStr">
        <is>
          <t>2007-12-31</t>
        </is>
      </c>
      <c r="E149" s="27" t="n">
        <v>10592</v>
      </c>
      <c r="F149" s="30" t="inlineStr">
        <is>
          <t>2007-12-28</t>
        </is>
      </c>
      <c r="G149" s="22">
        <f>E149/10*$P$1</f>
        <v/>
      </c>
      <c r="H149" s="26" t="n">
        <v>6.37</v>
      </c>
      <c r="I149" s="16">
        <f>IF(12=INDEX('Bonds calculation'!$L$6:$L$40,MATCH(B149,'Bonds calculation'!$A$6:$A$40,0)),INDEX('Bonds calculation'!$G$6:$G$40,MATCH(B149,'Bonds calculation'!$A$6:$A$40,0)),0)</f>
        <v/>
      </c>
    </row>
    <row r="150">
      <c r="A150" s="6" t="inlineStr">
        <is>
          <t>2008-01</t>
        </is>
      </c>
      <c r="B150" s="6" t="n">
        <v>2008</v>
      </c>
      <c r="C150" s="27" t="n">
        <v>5137.45</v>
      </c>
      <c r="D150" s="30" t="inlineStr">
        <is>
          <t>2008-01-31</t>
        </is>
      </c>
      <c r="E150" s="27" t="n">
        <v>11751</v>
      </c>
      <c r="F150" s="30" t="inlineStr">
        <is>
          <t>2008-01-31</t>
        </is>
      </c>
      <c r="G150" s="22">
        <f>E150/10*$P$1</f>
        <v/>
      </c>
      <c r="H150" s="26" t="n">
        <v>8.35</v>
      </c>
      <c r="I150" s="16">
        <f>IF(1=INDEX('Bonds calculation'!$L$6:$L$40,MATCH(B150,'Bonds calculation'!$A$6:$A$40,0)),INDEX('Bonds calculation'!$G$6:$G$40,MATCH(B150,'Bonds calculation'!$A$6:$A$40,0)),0)</f>
        <v/>
      </c>
    </row>
    <row r="151">
      <c r="A151" s="6" t="inlineStr">
        <is>
          <t>2008-02</t>
        </is>
      </c>
      <c r="B151" s="6" t="n">
        <v>2008</v>
      </c>
      <c r="C151" s="27" t="n">
        <v>5223.5</v>
      </c>
      <c r="D151" s="30" t="inlineStr">
        <is>
          <t>2008-02-29</t>
        </is>
      </c>
      <c r="E151" s="27" t="n">
        <v>12458</v>
      </c>
      <c r="F151" s="30" t="inlineStr">
        <is>
          <t>2008-02-29</t>
        </is>
      </c>
      <c r="G151" s="22">
        <f>E151/10*$P$1</f>
        <v/>
      </c>
      <c r="H151" s="26" t="n">
        <v>8.35</v>
      </c>
      <c r="I151" s="16">
        <f>IF(2=INDEX('Bonds calculation'!$L$6:$L$40,MATCH(B151,'Bonds calculation'!$A$6:$A$40,0)),INDEX('Bonds calculation'!$G$6:$G$40,MATCH(B151,'Bonds calculation'!$A$6:$A$40,0)),0)</f>
        <v/>
      </c>
    </row>
    <row r="152">
      <c r="A152" s="6" t="inlineStr">
        <is>
          <t>2008-03</t>
        </is>
      </c>
      <c r="B152" s="6" t="n">
        <v>2008</v>
      </c>
      <c r="C152" s="27" t="n">
        <v>4734.5</v>
      </c>
      <c r="D152" s="30" t="inlineStr">
        <is>
          <t>2008-03-31</t>
        </is>
      </c>
      <c r="E152" s="27" t="n">
        <v>12110</v>
      </c>
      <c r="F152" s="30" t="inlineStr">
        <is>
          <t>2008-03-31</t>
        </is>
      </c>
      <c r="G152" s="22">
        <f>E152/10*$P$1</f>
        <v/>
      </c>
      <c r="H152" s="26" t="n">
        <v>8.35</v>
      </c>
      <c r="I152" s="16">
        <f>IF(3=INDEX('Bonds calculation'!$L$6:$L$40,MATCH(B152,'Bonds calculation'!$A$6:$A$40,0)),INDEX('Bonds calculation'!$G$6:$G$40,MATCH(B152,'Bonds calculation'!$A$6:$A$40,0)),0)</f>
        <v/>
      </c>
    </row>
    <row r="153">
      <c r="A153" s="6" t="inlineStr">
        <is>
          <t>2008-04</t>
        </is>
      </c>
      <c r="B153" s="6" t="n">
        <v>2008</v>
      </c>
      <c r="C153" s="27" t="n">
        <v>5165.9</v>
      </c>
      <c r="D153" s="30" t="inlineStr">
        <is>
          <t>2008-04-30</t>
        </is>
      </c>
      <c r="E153" s="27" t="n">
        <v>11404</v>
      </c>
      <c r="F153" s="30" t="inlineStr">
        <is>
          <t>2008-04-30</t>
        </is>
      </c>
      <c r="G153" s="22">
        <f>E153/10*$P$1</f>
        <v/>
      </c>
      <c r="H153" s="26" t="n">
        <v>8.35</v>
      </c>
      <c r="I153" s="16">
        <f>IF(4=INDEX('Bonds calculation'!$L$6:$L$40,MATCH(B153,'Bonds calculation'!$A$6:$A$40,0)),INDEX('Bonds calculation'!$G$6:$G$40,MATCH(B153,'Bonds calculation'!$A$6:$A$40,0)),0)</f>
        <v/>
      </c>
    </row>
    <row r="154">
      <c r="A154" s="6" t="inlineStr">
        <is>
          <t>2008-05</t>
        </is>
      </c>
      <c r="B154" s="6" t="n">
        <v>2008</v>
      </c>
      <c r="C154" s="27" t="n">
        <v>4870.1</v>
      </c>
      <c r="D154" s="30" t="inlineStr">
        <is>
          <t>2008-05-30</t>
        </is>
      </c>
      <c r="E154" s="27" t="n">
        <v>12209</v>
      </c>
      <c r="F154" s="30" t="inlineStr">
        <is>
          <t>2008-05-31</t>
        </is>
      </c>
      <c r="G154" s="22">
        <f>E154/10*$P$1</f>
        <v/>
      </c>
      <c r="H154" s="26" t="n">
        <v>8.35</v>
      </c>
      <c r="I154" s="16">
        <f>IF(5=INDEX('Bonds calculation'!$L$6:$L$40,MATCH(B154,'Bonds calculation'!$A$6:$A$40,0)),INDEX('Bonds calculation'!$G$6:$G$40,MATCH(B154,'Bonds calculation'!$A$6:$A$40,0)),0)</f>
        <v/>
      </c>
    </row>
    <row r="155">
      <c r="A155" s="6" t="inlineStr">
        <is>
          <t>2008-06</t>
        </is>
      </c>
      <c r="B155" s="6" t="n">
        <v>2008</v>
      </c>
      <c r="C155" s="27" t="n">
        <v>4040.55</v>
      </c>
      <c r="D155" s="30" t="inlineStr">
        <is>
          <t>2008-06-30</t>
        </is>
      </c>
      <c r="E155" s="27" t="n">
        <v>12936</v>
      </c>
      <c r="F155" s="30" t="inlineStr">
        <is>
          <t>2008-06-30</t>
        </is>
      </c>
      <c r="G155" s="22">
        <f>E155/10*$P$1</f>
        <v/>
      </c>
      <c r="H155" s="26" t="n">
        <v>8.35</v>
      </c>
      <c r="I155" s="16">
        <f>IF(6=INDEX('Bonds calculation'!$L$6:$L$40,MATCH(B155,'Bonds calculation'!$A$6:$A$40,0)),INDEX('Bonds calculation'!$G$6:$G$40,MATCH(B155,'Bonds calculation'!$A$6:$A$40,0)),0)</f>
        <v/>
      </c>
    </row>
    <row r="156">
      <c r="A156" s="6" t="inlineStr">
        <is>
          <t>2008-07</t>
        </is>
      </c>
      <c r="B156" s="6" t="n">
        <v>2008</v>
      </c>
      <c r="C156" s="27" t="n">
        <v>4332.95</v>
      </c>
      <c r="D156" s="30" t="inlineStr">
        <is>
          <t>2008-07-31</t>
        </is>
      </c>
      <c r="E156" s="27" t="n">
        <v>12530</v>
      </c>
      <c r="F156" s="30" t="inlineStr">
        <is>
          <t>2008-07-31</t>
        </is>
      </c>
      <c r="G156" s="22">
        <f>E156/10*$P$1</f>
        <v/>
      </c>
      <c r="H156" s="26" t="n">
        <v>8.35</v>
      </c>
      <c r="I156" s="16">
        <f>IF(7=INDEX('Bonds calculation'!$L$6:$L$40,MATCH(B156,'Bonds calculation'!$A$6:$A$40,0)),INDEX('Bonds calculation'!$G$6:$G$40,MATCH(B156,'Bonds calculation'!$A$6:$A$40,0)),0)</f>
        <v/>
      </c>
    </row>
    <row r="157">
      <c r="A157" s="6" t="inlineStr">
        <is>
          <t>2008-08</t>
        </is>
      </c>
      <c r="B157" s="6" t="n">
        <v>2008</v>
      </c>
      <c r="C157" s="27" t="n">
        <v>4360</v>
      </c>
      <c r="D157" s="30" t="inlineStr">
        <is>
          <t>2008-08-29</t>
        </is>
      </c>
      <c r="E157" s="27" t="n">
        <v>11922</v>
      </c>
      <c r="F157" s="30" t="inlineStr">
        <is>
          <t>2008-08-30</t>
        </is>
      </c>
      <c r="G157" s="22">
        <f>E157/10*$P$1</f>
        <v/>
      </c>
      <c r="H157" s="26" t="n">
        <v>8.35</v>
      </c>
      <c r="I157" s="16">
        <f>IF(8=INDEX('Bonds calculation'!$L$6:$L$40,MATCH(B157,'Bonds calculation'!$A$6:$A$40,0)),INDEX('Bonds calculation'!$G$6:$G$40,MATCH(B157,'Bonds calculation'!$A$6:$A$40,0)),0)</f>
        <v/>
      </c>
    </row>
    <row r="158">
      <c r="A158" s="6" t="inlineStr">
        <is>
          <t>2008-09</t>
        </is>
      </c>
      <c r="B158" s="6" t="n">
        <v>2008</v>
      </c>
      <c r="C158" s="27" t="n">
        <v>3921.2</v>
      </c>
      <c r="D158" s="30" t="inlineStr">
        <is>
          <t>2008-09-30</t>
        </is>
      </c>
      <c r="E158" s="27" t="n">
        <v>13337</v>
      </c>
      <c r="F158" s="30" t="inlineStr">
        <is>
          <t>2008-09-30</t>
        </is>
      </c>
      <c r="G158" s="22">
        <f>E158/10*$P$1</f>
        <v/>
      </c>
      <c r="H158" s="26" t="n">
        <v>8.35</v>
      </c>
      <c r="I158" s="16">
        <f>IF(9=INDEX('Bonds calculation'!$L$6:$L$40,MATCH(B158,'Bonds calculation'!$A$6:$A$40,0)),INDEX('Bonds calculation'!$G$6:$G$40,MATCH(B158,'Bonds calculation'!$A$6:$A$40,0)),0)</f>
        <v/>
      </c>
    </row>
    <row r="159">
      <c r="A159" s="6" t="inlineStr">
        <is>
          <t>2008-10</t>
        </is>
      </c>
      <c r="B159" s="6" t="n">
        <v>2008</v>
      </c>
      <c r="C159" s="27" t="n">
        <v>2885.6</v>
      </c>
      <c r="D159" s="30" t="inlineStr">
        <is>
          <t>2008-10-31</t>
        </is>
      </c>
      <c r="E159" s="27" t="n">
        <v>11777</v>
      </c>
      <c r="F159" s="30" t="inlineStr">
        <is>
          <t>2008-10-31</t>
        </is>
      </c>
      <c r="G159" s="22">
        <f>E159/10*$P$1</f>
        <v/>
      </c>
      <c r="H159" s="26" t="n">
        <v>8.35</v>
      </c>
      <c r="I159" s="16">
        <f>IF(10=INDEX('Bonds calculation'!$L$6:$L$40,MATCH(B159,'Bonds calculation'!$A$6:$A$40,0)),INDEX('Bonds calculation'!$G$6:$G$40,MATCH(B159,'Bonds calculation'!$A$6:$A$40,0)),0)</f>
        <v/>
      </c>
    </row>
    <row r="160">
      <c r="A160" s="6" t="inlineStr">
        <is>
          <t>2008-11</t>
        </is>
      </c>
      <c r="B160" s="6" t="n">
        <v>2008</v>
      </c>
      <c r="C160" s="27" t="n">
        <v>2755.1</v>
      </c>
      <c r="D160" s="30" t="inlineStr">
        <is>
          <t>2008-11-28</t>
        </is>
      </c>
      <c r="E160" s="27" t="n">
        <v>13136</v>
      </c>
      <c r="F160" s="30" t="inlineStr">
        <is>
          <t>2008-11-29</t>
        </is>
      </c>
      <c r="G160" s="22">
        <f>E160/10*$P$1</f>
        <v/>
      </c>
      <c r="H160" s="26" t="n">
        <v>8.35</v>
      </c>
      <c r="I160" s="16">
        <f>IF(11=INDEX('Bonds calculation'!$L$6:$L$40,MATCH(B160,'Bonds calculation'!$A$6:$A$40,0)),INDEX('Bonds calculation'!$G$6:$G$40,MATCH(B160,'Bonds calculation'!$A$6:$A$40,0)),0)</f>
        <v/>
      </c>
    </row>
    <row r="161">
      <c r="A161" s="6" t="inlineStr">
        <is>
          <t>2008-12</t>
        </is>
      </c>
      <c r="B161" s="6" t="n">
        <v>2008</v>
      </c>
      <c r="C161" s="27" t="n">
        <v>2959.15</v>
      </c>
      <c r="D161" s="30" t="inlineStr">
        <is>
          <t>2008-12-31</t>
        </is>
      </c>
      <c r="E161" s="27" t="n">
        <v>13445</v>
      </c>
      <c r="F161" s="30" t="inlineStr">
        <is>
          <t>2008-12-31</t>
        </is>
      </c>
      <c r="G161" s="22">
        <f>E161/10*$P$1</f>
        <v/>
      </c>
      <c r="H161" s="26" t="n">
        <v>8.35</v>
      </c>
      <c r="I161" s="16">
        <f>IF(12=INDEX('Bonds calculation'!$L$6:$L$40,MATCH(B161,'Bonds calculation'!$A$6:$A$40,0)),INDEX('Bonds calculation'!$G$6:$G$40,MATCH(B161,'Bonds calculation'!$A$6:$A$40,0)),0)</f>
        <v/>
      </c>
    </row>
    <row r="162">
      <c r="A162" s="6" t="inlineStr">
        <is>
          <t>2009-01</t>
        </is>
      </c>
      <c r="B162" s="6" t="n">
        <v>2009</v>
      </c>
      <c r="C162" s="27" t="n">
        <v>2874.8</v>
      </c>
      <c r="D162" s="30" t="inlineStr">
        <is>
          <t>2009-01-30</t>
        </is>
      </c>
      <c r="E162" s="27" t="n">
        <v>14276</v>
      </c>
      <c r="F162" s="30" t="inlineStr">
        <is>
          <t>2009-01-31</t>
        </is>
      </c>
      <c r="G162" s="22">
        <f>E162/10*$P$1</f>
        <v/>
      </c>
      <c r="H162" s="26" t="n">
        <v>10.88</v>
      </c>
      <c r="I162" s="16">
        <f>IF(1=INDEX('Bonds calculation'!$L$6:$L$40,MATCH(B162,'Bonds calculation'!$A$6:$A$40,0)),INDEX('Bonds calculation'!$G$6:$G$40,MATCH(B162,'Bonds calculation'!$A$6:$A$40,0)),0)</f>
        <v/>
      </c>
    </row>
    <row r="163">
      <c r="A163" s="6" t="inlineStr">
        <is>
          <t>2009-02</t>
        </is>
      </c>
      <c r="B163" s="6" t="n">
        <v>2009</v>
      </c>
      <c r="C163" s="27" t="n">
        <v>2763.65</v>
      </c>
      <c r="D163" s="30" t="inlineStr">
        <is>
          <t>2009-02-27</t>
        </is>
      </c>
      <c r="E163" s="27" t="n">
        <v>15416</v>
      </c>
      <c r="F163" s="30" t="inlineStr">
        <is>
          <t>2009-02-28</t>
        </is>
      </c>
      <c r="G163" s="22">
        <f>E163/10*$P$1</f>
        <v/>
      </c>
      <c r="H163" s="26" t="n">
        <v>10.88</v>
      </c>
      <c r="I163" s="16">
        <f>IF(2=INDEX('Bonds calculation'!$L$6:$L$40,MATCH(B163,'Bonds calculation'!$A$6:$A$40,0)),INDEX('Bonds calculation'!$G$6:$G$40,MATCH(B163,'Bonds calculation'!$A$6:$A$40,0)),0)</f>
        <v/>
      </c>
    </row>
    <row r="164">
      <c r="A164" s="6" t="inlineStr">
        <is>
          <t>2009-03</t>
        </is>
      </c>
      <c r="B164" s="6" t="n">
        <v>2009</v>
      </c>
      <c r="C164" s="27" t="n">
        <v>3020.95</v>
      </c>
      <c r="D164" s="30" t="inlineStr">
        <is>
          <t>2009-03-31</t>
        </is>
      </c>
      <c r="E164" s="27" t="n">
        <v>15066</v>
      </c>
      <c r="F164" s="30" t="inlineStr">
        <is>
          <t>2009-03-31</t>
        </is>
      </c>
      <c r="G164" s="22">
        <f>E164/10*$P$1</f>
        <v/>
      </c>
      <c r="H164" s="26" t="n">
        <v>10.88</v>
      </c>
      <c r="I164" s="16">
        <f>IF(3=INDEX('Bonds calculation'!$L$6:$L$40,MATCH(B164,'Bonds calculation'!$A$6:$A$40,0)),INDEX('Bonds calculation'!$G$6:$G$40,MATCH(B164,'Bonds calculation'!$A$6:$A$40,0)),0)</f>
        <v/>
      </c>
    </row>
    <row r="165">
      <c r="A165" s="6" t="inlineStr">
        <is>
          <t>2009-04</t>
        </is>
      </c>
      <c r="B165" s="6" t="n">
        <v>2009</v>
      </c>
      <c r="C165" s="27" t="n">
        <v>3473.95</v>
      </c>
      <c r="D165" s="30" t="inlineStr">
        <is>
          <t>2009-04-29</t>
        </is>
      </c>
      <c r="E165" s="27" t="n">
        <v>14520</v>
      </c>
      <c r="F165" s="30" t="inlineStr">
        <is>
          <t>2009-04-29</t>
        </is>
      </c>
      <c r="G165" s="22">
        <f>E165/10*$P$1</f>
        <v/>
      </c>
      <c r="H165" s="26" t="n">
        <v>10.88</v>
      </c>
      <c r="I165" s="16">
        <f>IF(4=INDEX('Bonds calculation'!$L$6:$L$40,MATCH(B165,'Bonds calculation'!$A$6:$A$40,0)),INDEX('Bonds calculation'!$G$6:$G$40,MATCH(B165,'Bonds calculation'!$A$6:$A$40,0)),0)</f>
        <v/>
      </c>
    </row>
    <row r="166">
      <c r="A166" s="6" t="inlineStr">
        <is>
          <t>2009-05</t>
        </is>
      </c>
      <c r="B166" s="6" t="n">
        <v>2009</v>
      </c>
      <c r="C166" s="27" t="n">
        <v>4448.95</v>
      </c>
      <c r="D166" s="30" t="inlineStr">
        <is>
          <t>2009-05-29</t>
        </is>
      </c>
      <c r="E166" s="27" t="n">
        <v>14845</v>
      </c>
      <c r="F166" s="30" t="inlineStr">
        <is>
          <t>2009-05-29</t>
        </is>
      </c>
      <c r="G166" s="22">
        <f>E166/10*$P$1</f>
        <v/>
      </c>
      <c r="H166" s="26" t="n">
        <v>10.88</v>
      </c>
      <c r="I166" s="16">
        <f>IF(5=INDEX('Bonds calculation'!$L$6:$L$40,MATCH(B166,'Bonds calculation'!$A$6:$A$40,0)),INDEX('Bonds calculation'!$G$6:$G$40,MATCH(B166,'Bonds calculation'!$A$6:$A$40,0)),0)</f>
        <v/>
      </c>
    </row>
    <row r="167">
      <c r="A167" s="6" t="inlineStr">
        <is>
          <t>2009-06</t>
        </is>
      </c>
      <c r="B167" s="6" t="n">
        <v>2009</v>
      </c>
      <c r="C167" s="27" t="n">
        <v>4291.1</v>
      </c>
      <c r="D167" s="30" t="inlineStr">
        <is>
          <t>2009-06-30</t>
        </is>
      </c>
      <c r="E167" s="27" t="n">
        <v>14558</v>
      </c>
      <c r="F167" s="30" t="inlineStr">
        <is>
          <t>2009-06-30</t>
        </is>
      </c>
      <c r="G167" s="22">
        <f>E167/10*$P$1</f>
        <v/>
      </c>
      <c r="H167" s="26" t="n">
        <v>10.88</v>
      </c>
      <c r="I167" s="16">
        <f>IF(6=INDEX('Bonds calculation'!$L$6:$L$40,MATCH(B167,'Bonds calculation'!$A$6:$A$40,0)),INDEX('Bonds calculation'!$G$6:$G$40,MATCH(B167,'Bonds calculation'!$A$6:$A$40,0)),0)</f>
        <v/>
      </c>
    </row>
    <row r="168">
      <c r="A168" s="6" t="inlineStr">
        <is>
          <t>2009-07</t>
        </is>
      </c>
      <c r="B168" s="6" t="n">
        <v>2009</v>
      </c>
      <c r="C168" s="27" t="n">
        <v>4636.45</v>
      </c>
      <c r="D168" s="30" t="inlineStr">
        <is>
          <t>2009-07-31</t>
        </is>
      </c>
      <c r="E168" s="27" t="n">
        <v>14680</v>
      </c>
      <c r="F168" s="30" t="inlineStr">
        <is>
          <t>2009-07-31</t>
        </is>
      </c>
      <c r="G168" s="22">
        <f>E168/10*$P$1</f>
        <v/>
      </c>
      <c r="H168" s="26" t="n">
        <v>10.88</v>
      </c>
      <c r="I168" s="16">
        <f>IF(7=INDEX('Bonds calculation'!$L$6:$L$40,MATCH(B168,'Bonds calculation'!$A$6:$A$40,0)),INDEX('Bonds calculation'!$G$6:$G$40,MATCH(B168,'Bonds calculation'!$A$6:$A$40,0)),0)</f>
        <v/>
      </c>
    </row>
    <row r="169">
      <c r="A169" s="6" t="inlineStr">
        <is>
          <t>2009-08</t>
        </is>
      </c>
      <c r="B169" s="6" t="n">
        <v>2009</v>
      </c>
      <c r="C169" s="27" t="n">
        <v>4662.1</v>
      </c>
      <c r="D169" s="30" t="inlineStr">
        <is>
          <t>2009-08-31</t>
        </is>
      </c>
      <c r="E169" s="27" t="n">
        <v>15160</v>
      </c>
      <c r="F169" s="30" t="inlineStr">
        <is>
          <t>2009-08-31</t>
        </is>
      </c>
      <c r="G169" s="22">
        <f>E169/10*$P$1</f>
        <v/>
      </c>
      <c r="H169" s="26" t="n">
        <v>10.88</v>
      </c>
      <c r="I169" s="16">
        <f>IF(8=INDEX('Bonds calculation'!$L$6:$L$40,MATCH(B169,'Bonds calculation'!$A$6:$A$40,0)),INDEX('Bonds calculation'!$G$6:$G$40,MATCH(B169,'Bonds calculation'!$A$6:$A$40,0)),0)</f>
        <v/>
      </c>
    </row>
    <row r="170">
      <c r="A170" s="6" t="inlineStr">
        <is>
          <t>2009-09</t>
        </is>
      </c>
      <c r="B170" s="6" t="n">
        <v>2009</v>
      </c>
      <c r="C170" s="27" t="n">
        <v>5083.9</v>
      </c>
      <c r="D170" s="30" t="inlineStr">
        <is>
          <t>2009-09-30</t>
        </is>
      </c>
      <c r="E170" s="27" t="n">
        <v>15620</v>
      </c>
      <c r="F170" s="30" t="inlineStr">
        <is>
          <t>2009-09-30</t>
        </is>
      </c>
      <c r="G170" s="22">
        <f>E170/10*$P$1</f>
        <v/>
      </c>
      <c r="H170" s="26" t="n">
        <v>10.88</v>
      </c>
      <c r="I170" s="16">
        <f>IF(9=INDEX('Bonds calculation'!$L$6:$L$40,MATCH(B170,'Bonds calculation'!$A$6:$A$40,0)),INDEX('Bonds calculation'!$G$6:$G$40,MATCH(B170,'Bonds calculation'!$A$6:$A$40,0)),0)</f>
        <v/>
      </c>
    </row>
    <row r="171">
      <c r="A171" s="6" t="inlineStr">
        <is>
          <t>2009-10</t>
        </is>
      </c>
      <c r="B171" s="6" t="n">
        <v>2009</v>
      </c>
      <c r="C171" s="27" t="n">
        <v>4711.7</v>
      </c>
      <c r="D171" s="30" t="inlineStr">
        <is>
          <t>2009-10-30</t>
        </is>
      </c>
      <c r="E171" s="27" t="n">
        <v>15965</v>
      </c>
      <c r="F171" s="30" t="inlineStr">
        <is>
          <t>2009-10-31</t>
        </is>
      </c>
      <c r="G171" s="22">
        <f>E171/10*$P$1</f>
        <v/>
      </c>
      <c r="H171" s="26" t="n">
        <v>10.88</v>
      </c>
      <c r="I171" s="16">
        <f>IF(10=INDEX('Bonds calculation'!$L$6:$L$40,MATCH(B171,'Bonds calculation'!$A$6:$A$40,0)),INDEX('Bonds calculation'!$G$6:$G$40,MATCH(B171,'Bonds calculation'!$A$6:$A$40,0)),0)</f>
        <v/>
      </c>
    </row>
    <row r="172">
      <c r="A172" s="6" t="inlineStr">
        <is>
          <t>2009-11</t>
        </is>
      </c>
      <c r="B172" s="6" t="n">
        <v>2009</v>
      </c>
      <c r="C172" s="27" t="n">
        <v>5032.7</v>
      </c>
      <c r="D172" s="30" t="inlineStr">
        <is>
          <t>2009-11-30</t>
        </is>
      </c>
      <c r="E172" s="27" t="n">
        <v>17650</v>
      </c>
      <c r="F172" s="30" t="inlineStr">
        <is>
          <t>2009-11-30</t>
        </is>
      </c>
      <c r="G172" s="22">
        <f>E172/10*$P$1</f>
        <v/>
      </c>
      <c r="H172" s="26" t="n">
        <v>10.88</v>
      </c>
      <c r="I172" s="16">
        <f>IF(11=INDEX('Bonds calculation'!$L$6:$L$40,MATCH(B172,'Bonds calculation'!$A$6:$A$40,0)),INDEX('Bonds calculation'!$G$6:$G$40,MATCH(B172,'Bonds calculation'!$A$6:$A$40,0)),0)</f>
        <v/>
      </c>
    </row>
    <row r="173">
      <c r="A173" s="6" t="inlineStr">
        <is>
          <t>2009-12</t>
        </is>
      </c>
      <c r="B173" s="6" t="n">
        <v>2009</v>
      </c>
      <c r="C173" s="27" t="n">
        <v>5201.05</v>
      </c>
      <c r="D173" s="30" t="inlineStr">
        <is>
          <t>2009-12-31</t>
        </is>
      </c>
      <c r="E173" s="27" t="n">
        <v>16705</v>
      </c>
      <c r="F173" s="30" t="inlineStr">
        <is>
          <t>2009-12-31</t>
        </is>
      </c>
      <c r="G173" s="22">
        <f>E173/10*$P$1</f>
        <v/>
      </c>
      <c r="H173" s="26" t="n">
        <v>10.88</v>
      </c>
      <c r="I173" s="16">
        <f>IF(12=INDEX('Bonds calculation'!$L$6:$L$40,MATCH(B173,'Bonds calculation'!$A$6:$A$40,0)),INDEX('Bonds calculation'!$G$6:$G$40,MATCH(B173,'Bonds calculation'!$A$6:$A$40,0)),0)</f>
        <v/>
      </c>
    </row>
    <row r="174">
      <c r="A174" s="6" t="inlineStr">
        <is>
          <t>2010-01</t>
        </is>
      </c>
      <c r="B174" s="6" t="n">
        <v>2010</v>
      </c>
      <c r="C174" s="27" t="n">
        <v>4882.05</v>
      </c>
      <c r="D174" s="30" t="inlineStr">
        <is>
          <t>2010-01-29</t>
        </is>
      </c>
      <c r="E174" s="27" t="n">
        <v>16230</v>
      </c>
      <c r="F174" s="30" t="inlineStr">
        <is>
          <t>2010-01-30</t>
        </is>
      </c>
      <c r="G174" s="22">
        <f>E174/10*$P$1</f>
        <v/>
      </c>
      <c r="H174" s="26" t="n">
        <v>11.99</v>
      </c>
      <c r="I174" s="16">
        <f>IF(1=INDEX('Bonds calculation'!$L$6:$L$40,MATCH(B174,'Bonds calculation'!$A$6:$A$40,0)),INDEX('Bonds calculation'!$G$6:$G$40,MATCH(B174,'Bonds calculation'!$A$6:$A$40,0)),0)</f>
        <v/>
      </c>
    </row>
    <row r="175">
      <c r="A175" s="6" t="inlineStr">
        <is>
          <t>2010-02</t>
        </is>
      </c>
      <c r="B175" s="6" t="n">
        <v>2010</v>
      </c>
      <c r="C175" s="27" t="n">
        <v>4922.3</v>
      </c>
      <c r="D175" s="30" t="inlineStr">
        <is>
          <t>2010-02-26</t>
        </is>
      </c>
      <c r="E175" s="27" t="n">
        <v>16789</v>
      </c>
      <c r="F175" s="30" t="inlineStr">
        <is>
          <t>2010-02-27</t>
        </is>
      </c>
      <c r="G175" s="22">
        <f>E175/10*$P$1</f>
        <v/>
      </c>
      <c r="H175" s="26" t="n">
        <v>11.99</v>
      </c>
      <c r="I175" s="16">
        <f>IF(2=INDEX('Bonds calculation'!$L$6:$L$40,MATCH(B175,'Bonds calculation'!$A$6:$A$40,0)),INDEX('Bonds calculation'!$G$6:$G$40,MATCH(B175,'Bonds calculation'!$A$6:$A$40,0)),0)</f>
        <v/>
      </c>
    </row>
    <row r="176">
      <c r="A176" s="6" t="inlineStr">
        <is>
          <t>2010-03</t>
        </is>
      </c>
      <c r="B176" s="6" t="n">
        <v>2010</v>
      </c>
      <c r="C176" s="27" t="n">
        <v>5249.1</v>
      </c>
      <c r="D176" s="30" t="inlineStr">
        <is>
          <t>2010-03-31</t>
        </is>
      </c>
      <c r="E176" s="27" t="n">
        <v>16300</v>
      </c>
      <c r="F176" s="30" t="inlineStr">
        <is>
          <t>2010-03-31</t>
        </is>
      </c>
      <c r="G176" s="22">
        <f>E176/10*$P$1</f>
        <v/>
      </c>
      <c r="H176" s="26" t="n">
        <v>11.99</v>
      </c>
      <c r="I176" s="16">
        <f>IF(3=INDEX('Bonds calculation'!$L$6:$L$40,MATCH(B176,'Bonds calculation'!$A$6:$A$40,0)),INDEX('Bonds calculation'!$G$6:$G$40,MATCH(B176,'Bonds calculation'!$A$6:$A$40,0)),0)</f>
        <v/>
      </c>
    </row>
    <row r="177">
      <c r="A177" s="6" t="inlineStr">
        <is>
          <t>2010-04</t>
        </is>
      </c>
      <c r="B177" s="6" t="n">
        <v>2010</v>
      </c>
      <c r="C177" s="27" t="n">
        <v>5278</v>
      </c>
      <c r="D177" s="30" t="inlineStr">
        <is>
          <t>2010-04-30</t>
        </is>
      </c>
      <c r="E177" s="27" t="n">
        <v>17015</v>
      </c>
      <c r="F177" s="30" t="inlineStr">
        <is>
          <t>2010-04-30</t>
        </is>
      </c>
      <c r="G177" s="22">
        <f>E177/10*$P$1</f>
        <v/>
      </c>
      <c r="H177" s="26" t="n">
        <v>11.99</v>
      </c>
      <c r="I177" s="16">
        <f>IF(4=INDEX('Bonds calculation'!$L$6:$L$40,MATCH(B177,'Bonds calculation'!$A$6:$A$40,0)),INDEX('Bonds calculation'!$G$6:$G$40,MATCH(B177,'Bonds calculation'!$A$6:$A$40,0)),0)</f>
        <v/>
      </c>
    </row>
    <row r="178">
      <c r="A178" s="6" t="inlineStr">
        <is>
          <t>2010-05</t>
        </is>
      </c>
      <c r="B178" s="6" t="n">
        <v>2010</v>
      </c>
      <c r="C178" s="27" t="n">
        <v>5086.3</v>
      </c>
      <c r="D178" s="30" t="inlineStr">
        <is>
          <t>2010-05-31</t>
        </is>
      </c>
      <c r="E178" s="27" t="n">
        <v>18377</v>
      </c>
      <c r="F178" s="30" t="inlineStr">
        <is>
          <t>2010-05-31</t>
        </is>
      </c>
      <c r="G178" s="22">
        <f>E178/10*$P$1</f>
        <v/>
      </c>
      <c r="H178" s="26" t="n">
        <v>11.99</v>
      </c>
      <c r="I178" s="16">
        <f>IF(5=INDEX('Bonds calculation'!$L$6:$L$40,MATCH(B178,'Bonds calculation'!$A$6:$A$40,0)),INDEX('Bonds calculation'!$G$6:$G$40,MATCH(B178,'Bonds calculation'!$A$6:$A$40,0)),0)</f>
        <v/>
      </c>
    </row>
    <row r="179">
      <c r="A179" s="6" t="inlineStr">
        <is>
          <t>2010-06</t>
        </is>
      </c>
      <c r="B179" s="6" t="n">
        <v>2010</v>
      </c>
      <c r="C179" s="27" t="n">
        <v>5312.5</v>
      </c>
      <c r="D179" s="30" t="inlineStr">
        <is>
          <t>2010-06-30</t>
        </is>
      </c>
      <c r="E179" s="27" t="n">
        <v>18805</v>
      </c>
      <c r="F179" s="30" t="inlineStr">
        <is>
          <t>2010-06-30</t>
        </is>
      </c>
      <c r="G179" s="22">
        <f>E179/10*$P$1</f>
        <v/>
      </c>
      <c r="H179" s="26" t="n">
        <v>11.99</v>
      </c>
      <c r="I179" s="16">
        <f>IF(6=INDEX('Bonds calculation'!$L$6:$L$40,MATCH(B179,'Bonds calculation'!$A$6:$A$40,0)),INDEX('Bonds calculation'!$G$6:$G$40,MATCH(B179,'Bonds calculation'!$A$6:$A$40,0)),0)</f>
        <v/>
      </c>
    </row>
    <row r="180">
      <c r="A180" s="6" t="inlineStr">
        <is>
          <t>2010-07</t>
        </is>
      </c>
      <c r="B180" s="6" t="n">
        <v>2010</v>
      </c>
      <c r="C180" s="27" t="n">
        <v>5367.6</v>
      </c>
      <c r="D180" s="30" t="inlineStr">
        <is>
          <t>2010-07-30</t>
        </is>
      </c>
      <c r="E180" s="27" t="n">
        <v>17768</v>
      </c>
      <c r="F180" s="30" t="inlineStr">
        <is>
          <t>2010-07-30</t>
        </is>
      </c>
      <c r="G180" s="22">
        <f>E180/10*$P$1</f>
        <v/>
      </c>
      <c r="H180" s="26" t="n">
        <v>11.99</v>
      </c>
      <c r="I180" s="16">
        <f>IF(7=INDEX('Bonds calculation'!$L$6:$L$40,MATCH(B180,'Bonds calculation'!$A$6:$A$40,0)),INDEX('Bonds calculation'!$G$6:$G$40,MATCH(B180,'Bonds calculation'!$A$6:$A$40,0)),0)</f>
        <v/>
      </c>
    </row>
    <row r="181">
      <c r="A181" s="6" t="inlineStr">
        <is>
          <t>2010-08</t>
        </is>
      </c>
      <c r="B181" s="6" t="n">
        <v>2010</v>
      </c>
      <c r="C181" s="27" t="n">
        <v>5402.4</v>
      </c>
      <c r="D181" s="30" t="inlineStr">
        <is>
          <t>2010-08-31</t>
        </is>
      </c>
      <c r="E181" s="27" t="n">
        <v>18920</v>
      </c>
      <c r="F181" s="30" t="inlineStr">
        <is>
          <t>2010-08-31</t>
        </is>
      </c>
      <c r="G181" s="22">
        <f>E181/10*$P$1</f>
        <v/>
      </c>
      <c r="H181" s="26" t="n">
        <v>11.99</v>
      </c>
      <c r="I181" s="16">
        <f>IF(8=INDEX('Bonds calculation'!$L$6:$L$40,MATCH(B181,'Bonds calculation'!$A$6:$A$40,0)),INDEX('Bonds calculation'!$G$6:$G$40,MATCH(B181,'Bonds calculation'!$A$6:$A$40,0)),0)</f>
        <v/>
      </c>
    </row>
    <row r="182">
      <c r="A182" s="6" t="inlineStr">
        <is>
          <t>2010-09</t>
        </is>
      </c>
      <c r="B182" s="6" t="n">
        <v>2010</v>
      </c>
      <c r="C182" s="27" t="n">
        <v>6029.9</v>
      </c>
      <c r="D182" s="30" t="inlineStr">
        <is>
          <t>2010-09-30</t>
        </is>
      </c>
      <c r="E182" s="27" t="n">
        <v>19165</v>
      </c>
      <c r="F182" s="30" t="inlineStr">
        <is>
          <t>2010-09-30</t>
        </is>
      </c>
      <c r="G182" s="22">
        <f>E182/10*$P$1</f>
        <v/>
      </c>
      <c r="H182" s="26" t="n">
        <v>11.99</v>
      </c>
      <c r="I182" s="16">
        <f>IF(9=INDEX('Bonds calculation'!$L$6:$L$40,MATCH(B182,'Bonds calculation'!$A$6:$A$40,0)),INDEX('Bonds calculation'!$G$6:$G$40,MATCH(B182,'Bonds calculation'!$A$6:$A$40,0)),0)</f>
        <v/>
      </c>
    </row>
    <row r="183">
      <c r="A183" s="6" t="inlineStr">
        <is>
          <t>2010-10</t>
        </is>
      </c>
      <c r="B183" s="6" t="n">
        <v>2010</v>
      </c>
      <c r="C183" s="27" t="n">
        <v>6017.7</v>
      </c>
      <c r="D183" s="30" t="inlineStr">
        <is>
          <t>2010-10-29</t>
        </is>
      </c>
      <c r="E183" s="27" t="n">
        <v>19680</v>
      </c>
      <c r="F183" s="30" t="inlineStr">
        <is>
          <t>2010-10-30</t>
        </is>
      </c>
      <c r="G183" s="22">
        <f>E183/10*$P$1</f>
        <v/>
      </c>
      <c r="H183" s="26" t="n">
        <v>11.99</v>
      </c>
      <c r="I183" s="16">
        <f>IF(10=INDEX('Bonds calculation'!$L$6:$L$40,MATCH(B183,'Bonds calculation'!$A$6:$A$40,0)),INDEX('Bonds calculation'!$G$6:$G$40,MATCH(B183,'Bonds calculation'!$A$6:$A$40,0)),0)</f>
        <v/>
      </c>
    </row>
    <row r="184">
      <c r="A184" s="6" t="inlineStr">
        <is>
          <t>2010-11</t>
        </is>
      </c>
      <c r="B184" s="6" t="n">
        <v>2010</v>
      </c>
      <c r="C184" s="27" t="n">
        <v>5862.7</v>
      </c>
      <c r="D184" s="30" t="inlineStr">
        <is>
          <t>2010-11-30</t>
        </is>
      </c>
      <c r="E184" s="27" t="n">
        <v>20500</v>
      </c>
      <c r="F184" s="30" t="inlineStr">
        <is>
          <t>2010-11-30</t>
        </is>
      </c>
      <c r="G184" s="22">
        <f>E184/10*$P$1</f>
        <v/>
      </c>
      <c r="H184" s="26" t="n">
        <v>11.99</v>
      </c>
      <c r="I184" s="16">
        <f>IF(11=INDEX('Bonds calculation'!$L$6:$L$40,MATCH(B184,'Bonds calculation'!$A$6:$A$40,0)),INDEX('Bonds calculation'!$G$6:$G$40,MATCH(B184,'Bonds calculation'!$A$6:$A$40,0)),0)</f>
        <v/>
      </c>
    </row>
    <row r="185">
      <c r="A185" s="6" t="inlineStr">
        <is>
          <t>2010-12</t>
        </is>
      </c>
      <c r="B185" s="6" t="n">
        <v>2010</v>
      </c>
      <c r="C185" s="27" t="n">
        <v>6134.5</v>
      </c>
      <c r="D185" s="30" t="inlineStr">
        <is>
          <t>2010-12-31</t>
        </is>
      </c>
      <c r="E185" s="27" t="n">
        <v>20575</v>
      </c>
      <c r="F185" s="30" t="inlineStr">
        <is>
          <t>2010-12-31</t>
        </is>
      </c>
      <c r="G185" s="22">
        <f>E185/10*$P$1</f>
        <v/>
      </c>
      <c r="H185" s="26" t="n">
        <v>11.99</v>
      </c>
      <c r="I185" s="16">
        <f>IF(12=INDEX('Bonds calculation'!$L$6:$L$40,MATCH(B185,'Bonds calculation'!$A$6:$A$40,0)),INDEX('Bonds calculation'!$G$6:$G$40,MATCH(B185,'Bonds calculation'!$A$6:$A$40,0)),0)</f>
        <v/>
      </c>
    </row>
    <row r="186">
      <c r="A186" s="6" t="inlineStr">
        <is>
          <t>2011-01</t>
        </is>
      </c>
      <c r="B186" s="6" t="n">
        <v>2011</v>
      </c>
      <c r="C186" s="27" t="n">
        <v>5505.9</v>
      </c>
      <c r="D186" s="30" t="inlineStr">
        <is>
          <t>2011-01-31</t>
        </is>
      </c>
      <c r="E186" s="27" t="n">
        <v>19920</v>
      </c>
      <c r="F186" s="30" t="inlineStr">
        <is>
          <t>2011-01-31</t>
        </is>
      </c>
      <c r="G186" s="22">
        <f>E186/10*$P$1</f>
        <v/>
      </c>
      <c r="H186" s="26" t="n">
        <v>8.91</v>
      </c>
      <c r="I186" s="16">
        <f>IF(1=INDEX('Bonds calculation'!$L$6:$L$40,MATCH(B186,'Bonds calculation'!$A$6:$A$40,0)),INDEX('Bonds calculation'!$G$6:$G$40,MATCH(B186,'Bonds calculation'!$A$6:$A$40,0)),0)</f>
        <v/>
      </c>
    </row>
    <row r="187">
      <c r="A187" s="6" t="inlineStr">
        <is>
          <t>2011-02</t>
        </is>
      </c>
      <c r="B187" s="6" t="n">
        <v>2011</v>
      </c>
      <c r="C187" s="27" t="n">
        <v>5333.25</v>
      </c>
      <c r="D187" s="30" t="inlineStr">
        <is>
          <t>2011-02-28</t>
        </is>
      </c>
      <c r="E187" s="27" t="n">
        <v>20800</v>
      </c>
      <c r="F187" s="30" t="inlineStr">
        <is>
          <t>2011-02-28</t>
        </is>
      </c>
      <c r="G187" s="22">
        <f>E187/10*$P$1</f>
        <v/>
      </c>
      <c r="H187" s="26" t="n">
        <v>8.91</v>
      </c>
      <c r="I187" s="16">
        <f>IF(2=INDEX('Bonds calculation'!$L$6:$L$40,MATCH(B187,'Bonds calculation'!$A$6:$A$40,0)),INDEX('Bonds calculation'!$G$6:$G$40,MATCH(B187,'Bonds calculation'!$A$6:$A$40,0)),0)</f>
        <v/>
      </c>
    </row>
    <row r="188">
      <c r="A188" s="6" t="inlineStr">
        <is>
          <t>2011-03</t>
        </is>
      </c>
      <c r="B188" s="6" t="n">
        <v>2011</v>
      </c>
      <c r="C188" s="27" t="n">
        <v>5833.75</v>
      </c>
      <c r="D188" s="30" t="inlineStr">
        <is>
          <t>2011-03-31</t>
        </is>
      </c>
      <c r="E188" s="27" t="n">
        <v>20760</v>
      </c>
      <c r="F188" s="30" t="inlineStr">
        <is>
          <t>2011-03-31</t>
        </is>
      </c>
      <c r="G188" s="22">
        <f>E188/10*$P$1</f>
        <v/>
      </c>
      <c r="H188" s="26" t="n">
        <v>8.91</v>
      </c>
      <c r="I188" s="16">
        <f>IF(3=INDEX('Bonds calculation'!$L$6:$L$40,MATCH(B188,'Bonds calculation'!$A$6:$A$40,0)),INDEX('Bonds calculation'!$G$6:$G$40,MATCH(B188,'Bonds calculation'!$A$6:$A$40,0)),0)</f>
        <v/>
      </c>
    </row>
    <row r="189">
      <c r="A189" s="6" t="inlineStr">
        <is>
          <t>2011-04</t>
        </is>
      </c>
      <c r="B189" s="6" t="n">
        <v>2011</v>
      </c>
      <c r="C189" s="27" t="n">
        <v>5749.5</v>
      </c>
      <c r="D189" s="30" t="inlineStr">
        <is>
          <t>2011-04-29</t>
        </is>
      </c>
      <c r="E189" s="27" t="n">
        <v>22715</v>
      </c>
      <c r="F189" s="30" t="inlineStr">
        <is>
          <t>2011-04-30</t>
        </is>
      </c>
      <c r="G189" s="22">
        <f>E189/10*$P$1</f>
        <v/>
      </c>
      <c r="H189" s="26" t="n">
        <v>8.91</v>
      </c>
      <c r="I189" s="16">
        <f>IF(4=INDEX('Bonds calculation'!$L$6:$L$40,MATCH(B189,'Bonds calculation'!$A$6:$A$40,0)),INDEX('Bonds calculation'!$G$6:$G$40,MATCH(B189,'Bonds calculation'!$A$6:$A$40,0)),0)</f>
        <v/>
      </c>
    </row>
    <row r="190">
      <c r="A190" s="6" t="inlineStr">
        <is>
          <t>2011-05</t>
        </is>
      </c>
      <c r="B190" s="6" t="n">
        <v>2011</v>
      </c>
      <c r="C190" s="27" t="n">
        <v>5560.15</v>
      </c>
      <c r="D190" s="30" t="inlineStr">
        <is>
          <t>2011-05-31</t>
        </is>
      </c>
      <c r="E190" s="27" t="n">
        <v>22505</v>
      </c>
      <c r="F190" s="30" t="inlineStr">
        <is>
          <t>2011-05-31</t>
        </is>
      </c>
      <c r="G190" s="22">
        <f>E190/10*$P$1</f>
        <v/>
      </c>
      <c r="H190" s="26" t="n">
        <v>8.91</v>
      </c>
      <c r="I190" s="16">
        <f>IF(5=INDEX('Bonds calculation'!$L$6:$L$40,MATCH(B190,'Bonds calculation'!$A$6:$A$40,0)),INDEX('Bonds calculation'!$G$6:$G$40,MATCH(B190,'Bonds calculation'!$A$6:$A$40,0)),0)</f>
        <v/>
      </c>
    </row>
    <row r="191">
      <c r="A191" s="6" t="inlineStr">
        <is>
          <t>2011-06</t>
        </is>
      </c>
      <c r="B191" s="6" t="n">
        <v>2011</v>
      </c>
      <c r="C191" s="27" t="n">
        <v>5647.4</v>
      </c>
      <c r="D191" s="30" t="inlineStr">
        <is>
          <t>2011-06-30</t>
        </is>
      </c>
      <c r="E191" s="27" t="n">
        <v>21942</v>
      </c>
      <c r="F191" s="30" t="inlineStr">
        <is>
          <t>2011-06-30</t>
        </is>
      </c>
      <c r="G191" s="22">
        <f>E191/10*$P$1</f>
        <v/>
      </c>
      <c r="H191" s="26" t="n">
        <v>8.91</v>
      </c>
      <c r="I191" s="16">
        <f>IF(6=INDEX('Bonds calculation'!$L$6:$L$40,MATCH(B191,'Bonds calculation'!$A$6:$A$40,0)),INDEX('Bonds calculation'!$G$6:$G$40,MATCH(B191,'Bonds calculation'!$A$6:$A$40,0)),0)</f>
        <v/>
      </c>
    </row>
    <row r="192">
      <c r="A192" s="6" t="inlineStr">
        <is>
          <t>2011-07</t>
        </is>
      </c>
      <c r="B192" s="6" t="n">
        <v>2011</v>
      </c>
      <c r="C192" s="27" t="n">
        <v>5482</v>
      </c>
      <c r="D192" s="30" t="inlineStr">
        <is>
          <t>2011-07-29</t>
        </is>
      </c>
      <c r="E192" s="27" t="n">
        <v>23211</v>
      </c>
      <c r="F192" s="30" t="inlineStr">
        <is>
          <t>2011-07-30</t>
        </is>
      </c>
      <c r="G192" s="22">
        <f>E192/10*$P$1</f>
        <v/>
      </c>
      <c r="H192" s="26" t="n">
        <v>8.91</v>
      </c>
      <c r="I192" s="16">
        <f>IF(7=INDEX('Bonds calculation'!$L$6:$L$40,MATCH(B192,'Bonds calculation'!$A$6:$A$40,0)),INDEX('Bonds calculation'!$G$6:$G$40,MATCH(B192,'Bonds calculation'!$A$6:$A$40,0)),0)</f>
        <v/>
      </c>
    </row>
    <row r="193">
      <c r="A193" s="6" t="inlineStr">
        <is>
          <t>2011-08</t>
        </is>
      </c>
      <c r="B193" s="6" t="n">
        <v>2011</v>
      </c>
      <c r="C193" s="27" t="n">
        <v>5001</v>
      </c>
      <c r="D193" s="30" t="inlineStr">
        <is>
          <t>2011-08-30</t>
        </is>
      </c>
      <c r="E193" s="27" t="n">
        <v>26761</v>
      </c>
      <c r="F193" s="30" t="inlineStr">
        <is>
          <t>2011-08-30</t>
        </is>
      </c>
      <c r="G193" s="22">
        <f>E193/10*$P$1</f>
        <v/>
      </c>
      <c r="H193" s="26" t="n">
        <v>8.91</v>
      </c>
      <c r="I193" s="16">
        <f>IF(8=INDEX('Bonds calculation'!$L$6:$L$40,MATCH(B193,'Bonds calculation'!$A$6:$A$40,0)),INDEX('Bonds calculation'!$G$6:$G$40,MATCH(B193,'Bonds calculation'!$A$6:$A$40,0)),0)</f>
        <v/>
      </c>
    </row>
    <row r="194">
      <c r="A194" s="6" t="inlineStr">
        <is>
          <t>2011-09</t>
        </is>
      </c>
      <c r="B194" s="6" t="n">
        <v>2011</v>
      </c>
      <c r="C194" s="27" t="n">
        <v>4943.2</v>
      </c>
      <c r="D194" s="30" t="inlineStr">
        <is>
          <t>2011-09-30</t>
        </is>
      </c>
      <c r="E194" s="27" t="n">
        <v>25951</v>
      </c>
      <c r="F194" s="30" t="inlineStr">
        <is>
          <t>2011-09-30</t>
        </is>
      </c>
      <c r="G194" s="22">
        <f>E194/10*$P$1</f>
        <v/>
      </c>
      <c r="H194" s="26" t="n">
        <v>8.91</v>
      </c>
      <c r="I194" s="16">
        <f>IF(9=INDEX('Bonds calculation'!$L$6:$L$40,MATCH(B194,'Bonds calculation'!$A$6:$A$40,0)),INDEX('Bonds calculation'!$G$6:$G$40,MATCH(B194,'Bonds calculation'!$A$6:$A$40,0)),0)</f>
        <v/>
      </c>
    </row>
    <row r="195">
      <c r="A195" s="6" t="inlineStr">
        <is>
          <t>2011-10</t>
        </is>
      </c>
      <c r="B195" s="6" t="n">
        <v>2011</v>
      </c>
      <c r="C195" s="27" t="n">
        <v>5326.6</v>
      </c>
      <c r="D195" s="30" t="inlineStr">
        <is>
          <t>2011-10-31</t>
        </is>
      </c>
      <c r="E195" s="27" t="n">
        <v>27201</v>
      </c>
      <c r="F195" s="30" t="inlineStr">
        <is>
          <t>2011-10-31</t>
        </is>
      </c>
      <c r="G195" s="22">
        <f>E195/10*$P$1</f>
        <v/>
      </c>
      <c r="H195" s="26" t="n">
        <v>8.91</v>
      </c>
      <c r="I195" s="16">
        <f>IF(10=INDEX('Bonds calculation'!$L$6:$L$40,MATCH(B195,'Bonds calculation'!$A$6:$A$40,0)),INDEX('Bonds calculation'!$G$6:$G$40,MATCH(B195,'Bonds calculation'!$A$6:$A$40,0)),0)</f>
        <v/>
      </c>
    </row>
    <row r="196">
      <c r="A196" s="6" t="inlineStr">
        <is>
          <t>2011-11</t>
        </is>
      </c>
      <c r="B196" s="6" t="n">
        <v>2011</v>
      </c>
      <c r="C196" s="27" t="n">
        <v>4832</v>
      </c>
      <c r="D196" s="30" t="inlineStr">
        <is>
          <t>2011-11-30</t>
        </is>
      </c>
      <c r="E196" s="27" t="n">
        <v>28841</v>
      </c>
      <c r="F196" s="30" t="inlineStr">
        <is>
          <t>2011-11-30</t>
        </is>
      </c>
      <c r="G196" s="22">
        <f>E196/10*$P$1</f>
        <v/>
      </c>
      <c r="H196" s="26" t="n">
        <v>8.91</v>
      </c>
      <c r="I196" s="16">
        <f>IF(11=INDEX('Bonds calculation'!$L$6:$L$40,MATCH(B196,'Bonds calculation'!$A$6:$A$40,0)),INDEX('Bonds calculation'!$G$6:$G$40,MATCH(B196,'Bonds calculation'!$A$6:$A$40,0)),0)</f>
        <v/>
      </c>
    </row>
    <row r="197">
      <c r="A197" s="6" t="inlineStr">
        <is>
          <t>2011-12</t>
        </is>
      </c>
      <c r="B197" s="6" t="n">
        <v>2011</v>
      </c>
      <c r="C197" s="27" t="n">
        <v>4624.3</v>
      </c>
      <c r="D197" s="30" t="inlineStr">
        <is>
          <t>2011-12-30</t>
        </is>
      </c>
      <c r="E197" s="27" t="n">
        <v>27170</v>
      </c>
      <c r="F197" s="30" t="inlineStr">
        <is>
          <t>2011-12-31</t>
        </is>
      </c>
      <c r="G197" s="22">
        <f>E197/10*$P$1</f>
        <v/>
      </c>
      <c r="H197" s="26" t="n">
        <v>8.91</v>
      </c>
      <c r="I197" s="16">
        <f>IF(12=INDEX('Bonds calculation'!$L$6:$L$40,MATCH(B197,'Bonds calculation'!$A$6:$A$40,0)),INDEX('Bonds calculation'!$G$6:$G$40,MATCH(B197,'Bonds calculation'!$A$6:$A$40,0)),0)</f>
        <v/>
      </c>
    </row>
    <row r="198">
      <c r="A198" s="6" t="inlineStr">
        <is>
          <t>2012-01</t>
        </is>
      </c>
      <c r="B198" s="6" t="n">
        <v>2012</v>
      </c>
      <c r="C198" s="27" t="n">
        <v>5199.25</v>
      </c>
      <c r="D198" s="30" t="inlineStr">
        <is>
          <t>2012-01-31</t>
        </is>
      </c>
      <c r="E198" s="27" t="n">
        <v>28122</v>
      </c>
      <c r="F198" s="30" t="inlineStr">
        <is>
          <t>2012-01-31</t>
        </is>
      </c>
      <c r="G198" s="22">
        <f>E198/10*$P$1</f>
        <v/>
      </c>
      <c r="H198" s="26" t="n">
        <v>9.48</v>
      </c>
      <c r="I198" s="16">
        <f>IF(1=INDEX('Bonds calculation'!$L$6:$L$40,MATCH(B198,'Bonds calculation'!$A$6:$A$40,0)),INDEX('Bonds calculation'!$G$6:$G$40,MATCH(B198,'Bonds calculation'!$A$6:$A$40,0)),0)</f>
        <v/>
      </c>
    </row>
    <row r="199">
      <c r="A199" s="6" t="inlineStr">
        <is>
          <t>2012-02</t>
        </is>
      </c>
      <c r="B199" s="6" t="n">
        <v>2012</v>
      </c>
      <c r="C199" s="27" t="n">
        <v>5385.2</v>
      </c>
      <c r="D199" s="30" t="inlineStr">
        <is>
          <t>2012-02-29</t>
        </is>
      </c>
      <c r="E199" s="27" t="n">
        <v>28599</v>
      </c>
      <c r="F199" s="30" t="inlineStr">
        <is>
          <t>2012-02-29</t>
        </is>
      </c>
      <c r="G199" s="22">
        <f>E199/10*$P$1</f>
        <v/>
      </c>
      <c r="H199" s="26" t="n">
        <v>9.48</v>
      </c>
      <c r="I199" s="16">
        <f>IF(2=INDEX('Bonds calculation'!$L$6:$L$40,MATCH(B199,'Bonds calculation'!$A$6:$A$40,0)),INDEX('Bonds calculation'!$G$6:$G$40,MATCH(B199,'Bonds calculation'!$A$6:$A$40,0)),0)</f>
        <v/>
      </c>
    </row>
    <row r="200">
      <c r="A200" s="6" t="inlineStr">
        <is>
          <t>2012-03</t>
        </is>
      </c>
      <c r="B200" s="6" t="n">
        <v>2012</v>
      </c>
      <c r="C200" s="27" t="n">
        <v>5295.55</v>
      </c>
      <c r="D200" s="30" t="inlineStr">
        <is>
          <t>2012-03-30</t>
        </is>
      </c>
      <c r="E200" s="27" t="n">
        <v>28075</v>
      </c>
      <c r="F200" s="30" t="inlineStr">
        <is>
          <t>2012-03-31</t>
        </is>
      </c>
      <c r="G200" s="22">
        <f>E200/10*$P$1</f>
        <v/>
      </c>
      <c r="H200" s="26" t="n">
        <v>9.48</v>
      </c>
      <c r="I200" s="16">
        <f>IF(3=INDEX('Bonds calculation'!$L$6:$L$40,MATCH(B200,'Bonds calculation'!$A$6:$A$40,0)),INDEX('Bonds calculation'!$G$6:$G$40,MATCH(B200,'Bonds calculation'!$A$6:$A$40,0)),0)</f>
        <v/>
      </c>
    </row>
    <row r="201">
      <c r="A201" s="6" t="inlineStr">
        <is>
          <t>2012-04</t>
        </is>
      </c>
      <c r="B201" s="6" t="n">
        <v>2012</v>
      </c>
      <c r="C201" s="27" t="n">
        <v>5248.15</v>
      </c>
      <c r="D201" s="30" t="inlineStr">
        <is>
          <t>2012-04-30</t>
        </is>
      </c>
      <c r="E201" s="27" t="n">
        <v>29175</v>
      </c>
      <c r="F201" s="30" t="inlineStr">
        <is>
          <t>2012-04-30</t>
        </is>
      </c>
      <c r="G201" s="22">
        <f>E201/10*$P$1</f>
        <v/>
      </c>
      <c r="H201" s="26" t="n">
        <v>9.48</v>
      </c>
      <c r="I201" s="16">
        <f>IF(4=INDEX('Bonds calculation'!$L$6:$L$40,MATCH(B201,'Bonds calculation'!$A$6:$A$40,0)),INDEX('Bonds calculation'!$G$6:$G$40,MATCH(B201,'Bonds calculation'!$A$6:$A$40,0)),0)</f>
        <v/>
      </c>
    </row>
    <row r="202">
      <c r="A202" s="6" t="inlineStr">
        <is>
          <t>2012-05</t>
        </is>
      </c>
      <c r="B202" s="6" t="n">
        <v>2012</v>
      </c>
      <c r="C202" s="27" t="n">
        <v>4924.25</v>
      </c>
      <c r="D202" s="30" t="inlineStr">
        <is>
          <t>2012-05-31</t>
        </is>
      </c>
      <c r="E202" s="27" t="n">
        <v>29183</v>
      </c>
      <c r="F202" s="30" t="inlineStr">
        <is>
          <t>2012-05-31</t>
        </is>
      </c>
      <c r="G202" s="22">
        <f>E202/10*$P$1</f>
        <v/>
      </c>
      <c r="H202" s="26" t="n">
        <v>9.48</v>
      </c>
      <c r="I202" s="16">
        <f>IF(5=INDEX('Bonds calculation'!$L$6:$L$40,MATCH(B202,'Bonds calculation'!$A$6:$A$40,0)),INDEX('Bonds calculation'!$G$6:$G$40,MATCH(B202,'Bonds calculation'!$A$6:$A$40,0)),0)</f>
        <v/>
      </c>
    </row>
    <row r="203">
      <c r="A203" s="6" t="inlineStr">
        <is>
          <t>2012-06</t>
        </is>
      </c>
      <c r="B203" s="6" t="n">
        <v>2012</v>
      </c>
      <c r="C203" s="27" t="n">
        <v>5278.9</v>
      </c>
      <c r="D203" s="30" t="inlineStr">
        <is>
          <t>2012-06-29</t>
        </is>
      </c>
      <c r="E203" s="27" t="n">
        <v>29594</v>
      </c>
      <c r="F203" s="30" t="inlineStr">
        <is>
          <t>2012-06-30</t>
        </is>
      </c>
      <c r="G203" s="22">
        <f>E203/10*$P$1</f>
        <v/>
      </c>
      <c r="H203" s="26" t="n">
        <v>9.48</v>
      </c>
      <c r="I203" s="16">
        <f>IF(6=INDEX('Bonds calculation'!$L$6:$L$40,MATCH(B203,'Bonds calculation'!$A$6:$A$40,0)),INDEX('Bonds calculation'!$G$6:$G$40,MATCH(B203,'Bonds calculation'!$A$6:$A$40,0)),0)</f>
        <v/>
      </c>
    </row>
    <row r="204">
      <c r="A204" s="6" t="inlineStr">
        <is>
          <t>2012-07</t>
        </is>
      </c>
      <c r="B204" s="6" t="n">
        <v>2012</v>
      </c>
      <c r="C204" s="27" t="n">
        <v>5229</v>
      </c>
      <c r="D204" s="30" t="inlineStr">
        <is>
          <t>2012-07-31</t>
        </is>
      </c>
      <c r="E204" s="27" t="n">
        <v>29905</v>
      </c>
      <c r="F204" s="30" t="inlineStr">
        <is>
          <t>2012-07-31</t>
        </is>
      </c>
      <c r="G204" s="22">
        <f>E204/10*$P$1</f>
        <v/>
      </c>
      <c r="H204" s="26" t="n">
        <v>9.48</v>
      </c>
      <c r="I204" s="16">
        <f>IF(7=INDEX('Bonds calculation'!$L$6:$L$40,MATCH(B204,'Bonds calculation'!$A$6:$A$40,0)),INDEX('Bonds calculation'!$G$6:$G$40,MATCH(B204,'Bonds calculation'!$A$6:$A$40,0)),0)</f>
        <v/>
      </c>
    </row>
    <row r="205">
      <c r="A205" s="6" t="inlineStr">
        <is>
          <t>2012-08</t>
        </is>
      </c>
      <c r="B205" s="6" t="n">
        <v>2012</v>
      </c>
      <c r="C205" s="27" t="n">
        <v>5258.5</v>
      </c>
      <c r="D205" s="30" t="inlineStr">
        <is>
          <t>2012-08-31</t>
        </is>
      </c>
      <c r="E205" s="27" t="n">
        <v>30735</v>
      </c>
      <c r="F205" s="30" t="inlineStr">
        <is>
          <t>2012-08-31</t>
        </is>
      </c>
      <c r="G205" s="22">
        <f>E205/10*$P$1</f>
        <v/>
      </c>
      <c r="H205" s="26" t="n">
        <v>9.48</v>
      </c>
      <c r="I205" s="16">
        <f>IF(8=INDEX('Bonds calculation'!$L$6:$L$40,MATCH(B205,'Bonds calculation'!$A$6:$A$40,0)),INDEX('Bonds calculation'!$G$6:$G$40,MATCH(B205,'Bonds calculation'!$A$6:$A$40,0)),0)</f>
        <v/>
      </c>
    </row>
    <row r="206">
      <c r="A206" s="6" t="inlineStr">
        <is>
          <t>2012-09</t>
        </is>
      </c>
      <c r="B206" s="6" t="n">
        <v>2012</v>
      </c>
      <c r="C206" s="27" t="n">
        <v>5703.3</v>
      </c>
      <c r="D206" s="30" t="inlineStr">
        <is>
          <t>2012-09-28</t>
        </is>
      </c>
      <c r="E206" s="27" t="n">
        <v>31248</v>
      </c>
      <c r="F206" s="30" t="inlineStr">
        <is>
          <t>2012-09-29</t>
        </is>
      </c>
      <c r="G206" s="22">
        <f>E206/10*$P$1</f>
        <v/>
      </c>
      <c r="H206" s="26" t="n">
        <v>9.48</v>
      </c>
      <c r="I206" s="16">
        <f>IF(9=INDEX('Bonds calculation'!$L$6:$L$40,MATCH(B206,'Bonds calculation'!$A$6:$A$40,0)),INDEX('Bonds calculation'!$G$6:$G$40,MATCH(B206,'Bonds calculation'!$A$6:$A$40,0)),0)</f>
        <v/>
      </c>
    </row>
    <row r="207">
      <c r="A207" s="6" t="inlineStr">
        <is>
          <t>2012-10</t>
        </is>
      </c>
      <c r="B207" s="6" t="n">
        <v>2012</v>
      </c>
      <c r="C207" s="27" t="n">
        <v>5619.7</v>
      </c>
      <c r="D207" s="30" t="inlineStr">
        <is>
          <t>2012-10-31</t>
        </is>
      </c>
      <c r="E207" s="27" t="n">
        <v>30931</v>
      </c>
      <c r="F207" s="30" t="inlineStr">
        <is>
          <t>2012-10-31</t>
        </is>
      </c>
      <c r="G207" s="22">
        <f>E207/10*$P$1</f>
        <v/>
      </c>
      <c r="H207" s="26" t="n">
        <v>9.48</v>
      </c>
      <c r="I207" s="16">
        <f>IF(10=INDEX('Bonds calculation'!$L$6:$L$40,MATCH(B207,'Bonds calculation'!$A$6:$A$40,0)),INDEX('Bonds calculation'!$G$6:$G$40,MATCH(B207,'Bonds calculation'!$A$6:$A$40,0)),0)</f>
        <v/>
      </c>
    </row>
    <row r="208">
      <c r="A208" s="6" t="inlineStr">
        <is>
          <t>2012-11</t>
        </is>
      </c>
      <c r="B208" s="6" t="n">
        <v>2012</v>
      </c>
      <c r="C208" s="27" t="n">
        <v>5879.85</v>
      </c>
      <c r="D208" s="30" t="inlineStr">
        <is>
          <t>2012-11-30</t>
        </is>
      </c>
      <c r="E208" s="27" t="n">
        <v>31459</v>
      </c>
      <c r="F208" s="30" t="inlineStr">
        <is>
          <t>2012-11-30</t>
        </is>
      </c>
      <c r="G208" s="22">
        <f>E208/10*$P$1</f>
        <v/>
      </c>
      <c r="H208" s="26" t="n">
        <v>9.48</v>
      </c>
      <c r="I208" s="16">
        <f>IF(11=INDEX('Bonds calculation'!$L$6:$L$40,MATCH(B208,'Bonds calculation'!$A$6:$A$40,0)),INDEX('Bonds calculation'!$G$6:$G$40,MATCH(B208,'Bonds calculation'!$A$6:$A$40,0)),0)</f>
        <v/>
      </c>
    </row>
    <row r="209">
      <c r="A209" s="6" t="inlineStr">
        <is>
          <t>2012-12</t>
        </is>
      </c>
      <c r="B209" s="6" t="n">
        <v>2012</v>
      </c>
      <c r="C209" s="27" t="n">
        <v>5905.1</v>
      </c>
      <c r="D209" s="30" t="inlineStr">
        <is>
          <t>2012-12-31</t>
        </is>
      </c>
      <c r="E209" s="27" t="n">
        <v>30446</v>
      </c>
      <c r="F209" s="30" t="inlineStr">
        <is>
          <t>2012-12-31</t>
        </is>
      </c>
      <c r="G209" s="22">
        <f>E209/10*$P$1</f>
        <v/>
      </c>
      <c r="H209" s="26" t="n">
        <v>9.48</v>
      </c>
      <c r="I209" s="16">
        <f>IF(12=INDEX('Bonds calculation'!$L$6:$L$40,MATCH(B209,'Bonds calculation'!$A$6:$A$40,0)),INDEX('Bonds calculation'!$G$6:$G$40,MATCH(B209,'Bonds calculation'!$A$6:$A$40,0)),0)</f>
        <v/>
      </c>
    </row>
    <row r="210">
      <c r="A210" s="6" t="inlineStr">
        <is>
          <t>2013-01</t>
        </is>
      </c>
      <c r="B210" s="6" t="n">
        <v>2013</v>
      </c>
      <c r="C210" s="27" t="n">
        <v>6034.75</v>
      </c>
      <c r="D210" s="30" t="inlineStr">
        <is>
          <t>2013-01-31</t>
        </is>
      </c>
      <c r="E210" s="27" t="n">
        <v>30169</v>
      </c>
      <c r="F210" s="30" t="inlineStr">
        <is>
          <t>2013-01-31</t>
        </is>
      </c>
      <c r="G210" s="22">
        <f>E210/10*$P$1</f>
        <v/>
      </c>
      <c r="H210" s="26" t="n">
        <v>10.02</v>
      </c>
      <c r="I210" s="16">
        <f>IF(1=INDEX('Bonds calculation'!$L$6:$L$40,MATCH(B210,'Bonds calculation'!$A$6:$A$40,0)),INDEX('Bonds calculation'!$G$6:$G$40,MATCH(B210,'Bonds calculation'!$A$6:$A$40,0)),0)</f>
        <v/>
      </c>
    </row>
    <row r="211">
      <c r="A211" s="6" t="inlineStr">
        <is>
          <t>2013-02</t>
        </is>
      </c>
      <c r="B211" s="6" t="n">
        <v>2013</v>
      </c>
      <c r="C211" s="27" t="n">
        <v>5693.05</v>
      </c>
      <c r="D211" s="30" t="inlineStr">
        <is>
          <t>2013-02-28</t>
        </is>
      </c>
      <c r="E211" s="27" t="n">
        <v>29615</v>
      </c>
      <c r="F211" s="30" t="inlineStr">
        <is>
          <t>2013-02-28</t>
        </is>
      </c>
      <c r="G211" s="22">
        <f>E211/10*$P$1</f>
        <v/>
      </c>
      <c r="H211" s="26" t="n">
        <v>10.02</v>
      </c>
      <c r="I211" s="16">
        <f>IF(2=INDEX('Bonds calculation'!$L$6:$L$40,MATCH(B211,'Bonds calculation'!$A$6:$A$40,0)),INDEX('Bonds calculation'!$G$6:$G$40,MATCH(B211,'Bonds calculation'!$A$6:$A$40,0)),0)</f>
        <v/>
      </c>
    </row>
    <row r="212">
      <c r="A212" s="6" t="inlineStr">
        <is>
          <t>2013-03</t>
        </is>
      </c>
      <c r="B212" s="6" t="n">
        <v>2013</v>
      </c>
      <c r="C212" s="27" t="n">
        <v>5682.55</v>
      </c>
      <c r="D212" s="30" t="inlineStr">
        <is>
          <t>2013-03-28</t>
        </is>
      </c>
      <c r="E212" s="27" t="n">
        <v>29426</v>
      </c>
      <c r="F212" s="30" t="inlineStr">
        <is>
          <t>2013-03-30</t>
        </is>
      </c>
      <c r="G212" s="22">
        <f>E212/10*$P$1</f>
        <v/>
      </c>
      <c r="H212" s="26" t="n">
        <v>10.02</v>
      </c>
      <c r="I212" s="16">
        <f>IF(3=INDEX('Bonds calculation'!$L$6:$L$40,MATCH(B212,'Bonds calculation'!$A$6:$A$40,0)),INDEX('Bonds calculation'!$G$6:$G$40,MATCH(B212,'Bonds calculation'!$A$6:$A$40,0)),0)</f>
        <v/>
      </c>
    </row>
    <row r="213">
      <c r="A213" s="6" t="inlineStr">
        <is>
          <t>2013-04</t>
        </is>
      </c>
      <c r="B213" s="6" t="n">
        <v>2013</v>
      </c>
      <c r="C213" s="27" t="n">
        <v>5930.2</v>
      </c>
      <c r="D213" s="30" t="inlineStr">
        <is>
          <t>2013-04-30</t>
        </is>
      </c>
      <c r="E213" s="27" t="n">
        <v>27135</v>
      </c>
      <c r="F213" s="30" t="inlineStr">
        <is>
          <t>2013-04-30</t>
        </is>
      </c>
      <c r="G213" s="22">
        <f>E213/10*$P$1</f>
        <v/>
      </c>
      <c r="H213" s="26" t="n">
        <v>10.02</v>
      </c>
      <c r="I213" s="16">
        <f>IF(4=INDEX('Bonds calculation'!$L$6:$L$40,MATCH(B213,'Bonds calculation'!$A$6:$A$40,0)),INDEX('Bonds calculation'!$G$6:$G$40,MATCH(B213,'Bonds calculation'!$A$6:$A$40,0)),0)</f>
        <v/>
      </c>
    </row>
    <row r="214">
      <c r="A214" s="6" t="inlineStr">
        <is>
          <t>2013-05</t>
        </is>
      </c>
      <c r="B214" s="6" t="n">
        <v>2013</v>
      </c>
      <c r="C214" s="27" t="n">
        <v>5985.95</v>
      </c>
      <c r="D214" s="30" t="inlineStr">
        <is>
          <t>2013-05-31</t>
        </is>
      </c>
      <c r="E214" s="27" t="n">
        <v>27197</v>
      </c>
      <c r="F214" s="30" t="inlineStr">
        <is>
          <t>2013-05-31</t>
        </is>
      </c>
      <c r="G214" s="22">
        <f>E214/10*$P$1</f>
        <v/>
      </c>
      <c r="H214" s="26" t="n">
        <v>10.02</v>
      </c>
      <c r="I214" s="16">
        <f>IF(5=INDEX('Bonds calculation'!$L$6:$L$40,MATCH(B214,'Bonds calculation'!$A$6:$A$40,0)),INDEX('Bonds calculation'!$G$6:$G$40,MATCH(B214,'Bonds calculation'!$A$6:$A$40,0)),0)</f>
        <v/>
      </c>
    </row>
    <row r="215">
      <c r="A215" s="6" t="inlineStr">
        <is>
          <t>2013-06</t>
        </is>
      </c>
      <c r="B215" s="6" t="n">
        <v>2013</v>
      </c>
      <c r="C215" s="27" t="n">
        <v>5842.2</v>
      </c>
      <c r="D215" s="30" t="inlineStr">
        <is>
          <t>2013-06-28</t>
        </is>
      </c>
      <c r="E215" s="27" t="n">
        <v>25778</v>
      </c>
      <c r="F215" s="30" t="inlineStr">
        <is>
          <t>2013-06-29</t>
        </is>
      </c>
      <c r="G215" s="22">
        <f>E215/10*$P$1</f>
        <v/>
      </c>
      <c r="H215" s="26" t="n">
        <v>10.02</v>
      </c>
      <c r="I215" s="16">
        <f>IF(6=INDEX('Bonds calculation'!$L$6:$L$40,MATCH(B215,'Bonds calculation'!$A$6:$A$40,0)),INDEX('Bonds calculation'!$G$6:$G$40,MATCH(B215,'Bonds calculation'!$A$6:$A$40,0)),0)</f>
        <v/>
      </c>
    </row>
    <row r="216">
      <c r="A216" s="6" t="inlineStr">
        <is>
          <t>2013-07</t>
        </is>
      </c>
      <c r="B216" s="6" t="n">
        <v>2013</v>
      </c>
      <c r="C216" s="27" t="n">
        <v>5742</v>
      </c>
      <c r="D216" s="30" t="inlineStr">
        <is>
          <t>2013-07-31</t>
        </is>
      </c>
      <c r="E216" s="27" t="n">
        <v>28600</v>
      </c>
      <c r="F216" s="30" t="inlineStr">
        <is>
          <t>2013-07-31</t>
        </is>
      </c>
      <c r="G216" s="22">
        <f>E216/10*$P$1</f>
        <v/>
      </c>
      <c r="H216" s="26" t="n">
        <v>10.02</v>
      </c>
      <c r="I216" s="16">
        <f>IF(7=INDEX('Bonds calculation'!$L$6:$L$40,MATCH(B216,'Bonds calculation'!$A$6:$A$40,0)),INDEX('Bonds calculation'!$G$6:$G$40,MATCH(B216,'Bonds calculation'!$A$6:$A$40,0)),0)</f>
        <v/>
      </c>
    </row>
    <row r="217">
      <c r="A217" s="6" t="inlineStr">
        <is>
          <t>2013-08</t>
        </is>
      </c>
      <c r="B217" s="6" t="n">
        <v>2013</v>
      </c>
      <c r="C217" s="27" t="n">
        <v>5471.8</v>
      </c>
      <c r="D217" s="30" t="inlineStr">
        <is>
          <t>2013-08-30</t>
        </is>
      </c>
      <c r="E217" s="27" t="n">
        <v>32111</v>
      </c>
      <c r="F217" s="30" t="inlineStr">
        <is>
          <t>2013-08-31</t>
        </is>
      </c>
      <c r="G217" s="22">
        <f>E217/10*$P$1</f>
        <v/>
      </c>
      <c r="H217" s="26" t="n">
        <v>10.02</v>
      </c>
      <c r="I217" s="16">
        <f>IF(8=INDEX('Bonds calculation'!$L$6:$L$40,MATCH(B217,'Bonds calculation'!$A$6:$A$40,0)),INDEX('Bonds calculation'!$G$6:$G$40,MATCH(B217,'Bonds calculation'!$A$6:$A$40,0)),0)</f>
        <v/>
      </c>
    </row>
    <row r="218">
      <c r="A218" s="6" t="inlineStr">
        <is>
          <t>2013-09</t>
        </is>
      </c>
      <c r="B218" s="6" t="n">
        <v>2013</v>
      </c>
      <c r="C218" s="27" t="n">
        <v>5735.3</v>
      </c>
      <c r="D218" s="30" t="inlineStr">
        <is>
          <t>2013-09-30</t>
        </is>
      </c>
      <c r="E218" s="27" t="n">
        <v>30186</v>
      </c>
      <c r="F218" s="30" t="inlineStr">
        <is>
          <t>2013-09-30</t>
        </is>
      </c>
      <c r="G218" s="22">
        <f>E218/10*$P$1</f>
        <v/>
      </c>
      <c r="H218" s="26" t="n">
        <v>10.02</v>
      </c>
      <c r="I218" s="16">
        <f>IF(9=INDEX('Bonds calculation'!$L$6:$L$40,MATCH(B218,'Bonds calculation'!$A$6:$A$40,0)),INDEX('Bonds calculation'!$G$6:$G$40,MATCH(B218,'Bonds calculation'!$A$6:$A$40,0)),0)</f>
        <v/>
      </c>
    </row>
    <row r="219">
      <c r="A219" s="6" t="inlineStr">
        <is>
          <t>2013-10</t>
        </is>
      </c>
      <c r="B219" s="6" t="n">
        <v>2013</v>
      </c>
      <c r="C219" s="27" t="n">
        <v>6299.15</v>
      </c>
      <c r="D219" s="30" t="inlineStr">
        <is>
          <t>2013-10-31</t>
        </is>
      </c>
      <c r="E219" s="27" t="n">
        <v>30683</v>
      </c>
      <c r="F219" s="30" t="inlineStr">
        <is>
          <t>2013-10-31</t>
        </is>
      </c>
      <c r="G219" s="22">
        <f>E219/10*$P$1</f>
        <v/>
      </c>
      <c r="H219" s="26" t="n">
        <v>10.02</v>
      </c>
      <c r="I219" s="16">
        <f>IF(10=INDEX('Bonds calculation'!$L$6:$L$40,MATCH(B219,'Bonds calculation'!$A$6:$A$40,0)),INDEX('Bonds calculation'!$G$6:$G$40,MATCH(B219,'Bonds calculation'!$A$6:$A$40,0)),0)</f>
        <v/>
      </c>
    </row>
    <row r="220">
      <c r="A220" s="6" t="inlineStr">
        <is>
          <t>2013-11</t>
        </is>
      </c>
      <c r="B220" s="6" t="n">
        <v>2013</v>
      </c>
      <c r="C220" s="27" t="n">
        <v>6176.1</v>
      </c>
      <c r="D220" s="30" t="inlineStr">
        <is>
          <t>2013-11-29</t>
        </is>
      </c>
      <c r="E220" s="27" t="n">
        <v>30499</v>
      </c>
      <c r="F220" s="30" t="inlineStr">
        <is>
          <t>2013-11-29</t>
        </is>
      </c>
      <c r="G220" s="22">
        <f>E220/10*$P$1</f>
        <v/>
      </c>
      <c r="H220" s="26" t="n">
        <v>10.02</v>
      </c>
      <c r="I220" s="16">
        <f>IF(11=INDEX('Bonds calculation'!$L$6:$L$40,MATCH(B220,'Bonds calculation'!$A$6:$A$40,0)),INDEX('Bonds calculation'!$G$6:$G$40,MATCH(B220,'Bonds calculation'!$A$6:$A$40,0)),0)</f>
        <v/>
      </c>
    </row>
    <row r="221">
      <c r="A221" s="6" t="inlineStr">
        <is>
          <t>2013-12</t>
        </is>
      </c>
      <c r="B221" s="6" t="n">
        <v>2013</v>
      </c>
      <c r="C221" s="27" t="n">
        <v>6304</v>
      </c>
      <c r="D221" s="30" t="inlineStr">
        <is>
          <t>2013-12-31</t>
        </is>
      </c>
      <c r="E221" s="27" t="n">
        <v>29075</v>
      </c>
      <c r="F221" s="30" t="inlineStr">
        <is>
          <t>2013-12-31</t>
        </is>
      </c>
      <c r="G221" s="22">
        <f>E221/10*$P$1</f>
        <v/>
      </c>
      <c r="H221" s="26" t="n">
        <v>10.02</v>
      </c>
      <c r="I221" s="16">
        <f>IF(12=INDEX('Bonds calculation'!$L$6:$L$40,MATCH(B221,'Bonds calculation'!$A$6:$A$40,0)),INDEX('Bonds calculation'!$G$6:$G$40,MATCH(B221,'Bonds calculation'!$A$6:$A$40,0)),0)</f>
        <v/>
      </c>
    </row>
    <row r="222">
      <c r="A222" s="6" t="inlineStr">
        <is>
          <t>2014-01</t>
        </is>
      </c>
      <c r="B222" s="6" t="n">
        <v>2014</v>
      </c>
      <c r="C222" s="27" t="n">
        <v>6089.5</v>
      </c>
      <c r="D222" s="30" t="inlineStr">
        <is>
          <t>2014-01-31</t>
        </is>
      </c>
      <c r="E222" s="27" t="n">
        <v>29736</v>
      </c>
      <c r="F222" s="30" t="inlineStr">
        <is>
          <t>2014-01-31</t>
        </is>
      </c>
      <c r="G222" s="22">
        <f>E222/10*$P$1</f>
        <v/>
      </c>
      <c r="H222" s="26" t="n">
        <v>6.67</v>
      </c>
      <c r="I222" s="16">
        <f>IF(1=INDEX('Bonds calculation'!$L$6:$L$40,MATCH(B222,'Bonds calculation'!$A$6:$A$40,0)),INDEX('Bonds calculation'!$G$6:$G$40,MATCH(B222,'Bonds calculation'!$A$6:$A$40,0)),0)</f>
        <v/>
      </c>
    </row>
    <row r="223">
      <c r="A223" s="6" t="inlineStr">
        <is>
          <t>2014-02</t>
        </is>
      </c>
      <c r="B223" s="6" t="n">
        <v>2014</v>
      </c>
      <c r="C223" s="27" t="n">
        <v>6276.95</v>
      </c>
      <c r="D223" s="30" t="inlineStr">
        <is>
          <t>2014-02-28</t>
        </is>
      </c>
      <c r="E223" s="27" t="n">
        <v>30487</v>
      </c>
      <c r="F223" s="30" t="inlineStr">
        <is>
          <t>2014-02-28</t>
        </is>
      </c>
      <c r="G223" s="22">
        <f>E223/10*$P$1</f>
        <v/>
      </c>
      <c r="H223" s="26" t="n">
        <v>6.67</v>
      </c>
      <c r="I223" s="16">
        <f>IF(2=INDEX('Bonds calculation'!$L$6:$L$40,MATCH(B223,'Bonds calculation'!$A$6:$A$40,0)),INDEX('Bonds calculation'!$G$6:$G$40,MATCH(B223,'Bonds calculation'!$A$6:$A$40,0)),0)</f>
        <v/>
      </c>
    </row>
    <row r="224">
      <c r="A224" s="6" t="inlineStr">
        <is>
          <t>2014-03</t>
        </is>
      </c>
      <c r="B224" s="6" t="n">
        <v>2014</v>
      </c>
      <c r="C224" s="27" t="n">
        <v>6704.2</v>
      </c>
      <c r="D224" s="30" t="inlineStr">
        <is>
          <t>2014-03-31</t>
        </is>
      </c>
      <c r="E224" s="27" t="n">
        <v>28619</v>
      </c>
      <c r="F224" s="30" t="inlineStr">
        <is>
          <t>2014-03-31</t>
        </is>
      </c>
      <c r="G224" s="22">
        <f>E224/10*$P$1</f>
        <v/>
      </c>
      <c r="H224" s="26" t="n">
        <v>6.67</v>
      </c>
      <c r="I224" s="16">
        <f>IF(3=INDEX('Bonds calculation'!$L$6:$L$40,MATCH(B224,'Bonds calculation'!$A$6:$A$40,0)),INDEX('Bonds calculation'!$G$6:$G$40,MATCH(B224,'Bonds calculation'!$A$6:$A$40,0)),0)</f>
        <v/>
      </c>
    </row>
    <row r="225">
      <c r="A225" s="6" t="inlineStr">
        <is>
          <t>2014-04</t>
        </is>
      </c>
      <c r="B225" s="6" t="n">
        <v>2014</v>
      </c>
      <c r="C225" s="27" t="n">
        <v>6696.4</v>
      </c>
      <c r="D225" s="30" t="inlineStr">
        <is>
          <t>2014-04-30</t>
        </is>
      </c>
      <c r="E225" s="27" t="n">
        <v>29773</v>
      </c>
      <c r="F225" s="30" t="inlineStr">
        <is>
          <t>2014-04-30</t>
        </is>
      </c>
      <c r="G225" s="22">
        <f>E225/10*$P$1</f>
        <v/>
      </c>
      <c r="H225" s="26" t="n">
        <v>6.67</v>
      </c>
      <c r="I225" s="16">
        <f>IF(4=INDEX('Bonds calculation'!$L$6:$L$40,MATCH(B225,'Bonds calculation'!$A$6:$A$40,0)),INDEX('Bonds calculation'!$G$6:$G$40,MATCH(B225,'Bonds calculation'!$A$6:$A$40,0)),0)</f>
        <v/>
      </c>
    </row>
    <row r="226">
      <c r="A226" s="6" t="inlineStr">
        <is>
          <t>2014-05</t>
        </is>
      </c>
      <c r="B226" s="6" t="n">
        <v>2014</v>
      </c>
      <c r="C226" s="27" t="n">
        <v>7229.95</v>
      </c>
      <c r="D226" s="30" t="inlineStr">
        <is>
          <t>2014-05-30</t>
        </is>
      </c>
      <c r="E226" s="27" t="n">
        <v>26893</v>
      </c>
      <c r="F226" s="30" t="inlineStr">
        <is>
          <t>2014-05-30</t>
        </is>
      </c>
      <c r="G226" s="22">
        <f>E226/10*$P$1</f>
        <v/>
      </c>
      <c r="H226" s="26" t="n">
        <v>6.67</v>
      </c>
      <c r="I226" s="16">
        <f>IF(5=INDEX('Bonds calculation'!$L$6:$L$40,MATCH(B226,'Bonds calculation'!$A$6:$A$40,0)),INDEX('Bonds calculation'!$G$6:$G$40,MATCH(B226,'Bonds calculation'!$A$6:$A$40,0)),0)</f>
        <v/>
      </c>
    </row>
    <row r="227">
      <c r="A227" s="6" t="inlineStr">
        <is>
          <t>2014-06</t>
        </is>
      </c>
      <c r="B227" s="6" t="n">
        <v>2014</v>
      </c>
      <c r="C227" s="27" t="n">
        <v>7611.35</v>
      </c>
      <c r="D227" s="30" t="inlineStr">
        <is>
          <t>2014-06-30</t>
        </is>
      </c>
      <c r="E227" s="27" t="n">
        <v>28093</v>
      </c>
      <c r="F227" s="30" t="inlineStr">
        <is>
          <t>2014-06-30</t>
        </is>
      </c>
      <c r="G227" s="22">
        <f>E227/10*$P$1</f>
        <v/>
      </c>
      <c r="H227" s="26" t="n">
        <v>6.67</v>
      </c>
      <c r="I227" s="16">
        <f>IF(6=INDEX('Bonds calculation'!$L$6:$L$40,MATCH(B227,'Bonds calculation'!$A$6:$A$40,0)),INDEX('Bonds calculation'!$G$6:$G$40,MATCH(B227,'Bonds calculation'!$A$6:$A$40,0)),0)</f>
        <v/>
      </c>
    </row>
    <row r="228">
      <c r="A228" s="6" t="inlineStr">
        <is>
          <t>2014-07</t>
        </is>
      </c>
      <c r="B228" s="6" t="n">
        <v>2014</v>
      </c>
      <c r="C228" s="27" t="n">
        <v>7721.3</v>
      </c>
      <c r="D228" s="30" t="inlineStr">
        <is>
          <t>2014-07-31</t>
        </is>
      </c>
      <c r="E228" s="27" t="n">
        <v>27906</v>
      </c>
      <c r="F228" s="30" t="inlineStr">
        <is>
          <t>2014-07-31</t>
        </is>
      </c>
      <c r="G228" s="22">
        <f>E228/10*$P$1</f>
        <v/>
      </c>
      <c r="H228" s="26" t="n">
        <v>6.67</v>
      </c>
      <c r="I228" s="16">
        <f>IF(7=INDEX('Bonds calculation'!$L$6:$L$40,MATCH(B228,'Bonds calculation'!$A$6:$A$40,0)),INDEX('Bonds calculation'!$G$6:$G$40,MATCH(B228,'Bonds calculation'!$A$6:$A$40,0)),0)</f>
        <v/>
      </c>
    </row>
    <row r="229">
      <c r="A229" s="6" t="inlineStr">
        <is>
          <t>2014-08</t>
        </is>
      </c>
      <c r="B229" s="6" t="n">
        <v>2014</v>
      </c>
      <c r="C229" s="27" t="n">
        <v>7954.35</v>
      </c>
      <c r="D229" s="30" t="inlineStr">
        <is>
          <t>2014-08-28</t>
        </is>
      </c>
      <c r="E229" s="27" t="n">
        <v>27923</v>
      </c>
      <c r="F229" s="30" t="inlineStr">
        <is>
          <t>2014-08-28</t>
        </is>
      </c>
      <c r="G229" s="22">
        <f>E229/10*$P$1</f>
        <v/>
      </c>
      <c r="H229" s="26" t="n">
        <v>6.67</v>
      </c>
      <c r="I229" s="16">
        <f>IF(8=INDEX('Bonds calculation'!$L$6:$L$40,MATCH(B229,'Bonds calculation'!$A$6:$A$40,0)),INDEX('Bonds calculation'!$G$6:$G$40,MATCH(B229,'Bonds calculation'!$A$6:$A$40,0)),0)</f>
        <v/>
      </c>
    </row>
    <row r="230">
      <c r="A230" s="6" t="inlineStr">
        <is>
          <t>2014-09</t>
        </is>
      </c>
      <c r="B230" s="6" t="n">
        <v>2014</v>
      </c>
      <c r="C230" s="27" t="n">
        <v>7964.8</v>
      </c>
      <c r="D230" s="30" t="inlineStr">
        <is>
          <t>2014-09-30</t>
        </is>
      </c>
      <c r="E230" s="27" t="n">
        <v>26772</v>
      </c>
      <c r="F230" s="30" t="inlineStr">
        <is>
          <t>2014-09-30</t>
        </is>
      </c>
      <c r="G230" s="22">
        <f>E230/10*$P$1</f>
        <v/>
      </c>
      <c r="H230" s="26" t="n">
        <v>6.67</v>
      </c>
      <c r="I230" s="16">
        <f>IF(9=INDEX('Bonds calculation'!$L$6:$L$40,MATCH(B230,'Bonds calculation'!$A$6:$A$40,0)),INDEX('Bonds calculation'!$G$6:$G$40,MATCH(B230,'Bonds calculation'!$A$6:$A$40,0)),0)</f>
        <v/>
      </c>
    </row>
    <row r="231">
      <c r="A231" s="6" t="inlineStr">
        <is>
          <t>2014-10</t>
        </is>
      </c>
      <c r="B231" s="6" t="n">
        <v>2014</v>
      </c>
      <c r="C231" s="27" t="n">
        <v>8322.200000000001</v>
      </c>
      <c r="D231" s="30" t="inlineStr">
        <is>
          <t>2014-10-31</t>
        </is>
      </c>
      <c r="E231" s="27" t="n">
        <v>25871</v>
      </c>
      <c r="F231" s="30" t="inlineStr">
        <is>
          <t>2014-10-31</t>
        </is>
      </c>
      <c r="G231" s="22">
        <f>E231/10*$P$1</f>
        <v/>
      </c>
      <c r="H231" s="26" t="n">
        <v>6.67</v>
      </c>
      <c r="I231" s="16">
        <f>IF(10=INDEX('Bonds calculation'!$L$6:$L$40,MATCH(B231,'Bonds calculation'!$A$6:$A$40,0)),INDEX('Bonds calculation'!$G$6:$G$40,MATCH(B231,'Bonds calculation'!$A$6:$A$40,0)),0)</f>
        <v/>
      </c>
    </row>
    <row r="232">
      <c r="A232" s="6" t="inlineStr">
        <is>
          <t>2014-11</t>
        </is>
      </c>
      <c r="B232" s="6" t="n">
        <v>2014</v>
      </c>
      <c r="C232" s="27" t="n">
        <v>8588.25</v>
      </c>
      <c r="D232" s="30" t="inlineStr">
        <is>
          <t>2014-11-28</t>
        </is>
      </c>
      <c r="E232" s="27" t="n">
        <v>26140</v>
      </c>
      <c r="F232" s="30" t="inlineStr">
        <is>
          <t>2014-11-28</t>
        </is>
      </c>
      <c r="G232" s="22">
        <f>E232/10*$P$1</f>
        <v/>
      </c>
      <c r="H232" s="26" t="n">
        <v>6.67</v>
      </c>
      <c r="I232" s="16">
        <f>IF(11=INDEX('Bonds calculation'!$L$6:$L$40,MATCH(B232,'Bonds calculation'!$A$6:$A$40,0)),INDEX('Bonds calculation'!$G$6:$G$40,MATCH(B232,'Bonds calculation'!$A$6:$A$40,0)),0)</f>
        <v/>
      </c>
    </row>
    <row r="233">
      <c r="A233" s="6" t="inlineStr">
        <is>
          <t>2014-12</t>
        </is>
      </c>
      <c r="B233" s="6" t="n">
        <v>2014</v>
      </c>
      <c r="C233" s="27" t="n">
        <v>8282.700000000001</v>
      </c>
      <c r="D233" s="30" t="inlineStr">
        <is>
          <t>2014-12-31</t>
        </is>
      </c>
      <c r="E233" s="27" t="n">
        <v>26774</v>
      </c>
      <c r="F233" s="30" t="inlineStr">
        <is>
          <t>2014-12-31</t>
        </is>
      </c>
      <c r="G233" s="22">
        <f>E233/10*$P$1</f>
        <v/>
      </c>
      <c r="H233" s="26" t="n">
        <v>6.67</v>
      </c>
      <c r="I233" s="16">
        <f>IF(12=INDEX('Bonds calculation'!$L$6:$L$40,MATCH(B233,'Bonds calculation'!$A$6:$A$40,0)),INDEX('Bonds calculation'!$G$6:$G$40,MATCH(B233,'Bonds calculation'!$A$6:$A$40,0)),0)</f>
        <v/>
      </c>
    </row>
    <row r="234">
      <c r="A234" s="6" t="inlineStr">
        <is>
          <t>2015-01</t>
        </is>
      </c>
      <c r="B234" s="6" t="n">
        <v>2015</v>
      </c>
      <c r="C234" s="27" t="n">
        <v>8808.9</v>
      </c>
      <c r="D234" s="30" t="inlineStr">
        <is>
          <t>2015-01-30</t>
        </is>
      </c>
      <c r="E234" s="27" t="n">
        <v>27630</v>
      </c>
      <c r="F234" s="30" t="inlineStr">
        <is>
          <t>2015-01-30</t>
        </is>
      </c>
      <c r="G234" s="22">
        <f>E234/10*$P$1</f>
        <v/>
      </c>
      <c r="H234" s="26" t="n">
        <v>4.91</v>
      </c>
      <c r="I234" s="16">
        <f>IF(1=INDEX('Bonds calculation'!$L$6:$L$40,MATCH(B234,'Bonds calculation'!$A$6:$A$40,0)),INDEX('Bonds calculation'!$G$6:$G$40,MATCH(B234,'Bonds calculation'!$A$6:$A$40,0)),0)</f>
        <v/>
      </c>
    </row>
    <row r="235">
      <c r="A235" s="6" t="inlineStr">
        <is>
          <t>2015-02</t>
        </is>
      </c>
      <c r="B235" s="6" t="n">
        <v>2015</v>
      </c>
      <c r="C235" s="27" t="n">
        <v>8901.85</v>
      </c>
      <c r="D235" s="30" t="inlineStr">
        <is>
          <t>2015-02-28</t>
        </is>
      </c>
      <c r="E235" s="27" t="n">
        <v>26559</v>
      </c>
      <c r="F235" s="30" t="inlineStr">
        <is>
          <t>2015-02-28</t>
        </is>
      </c>
      <c r="G235" s="22">
        <f>E235/10*$P$1</f>
        <v/>
      </c>
      <c r="H235" s="26" t="n">
        <v>4.91</v>
      </c>
      <c r="I235" s="16">
        <f>IF(2=INDEX('Bonds calculation'!$L$6:$L$40,MATCH(B235,'Bonds calculation'!$A$6:$A$40,0)),INDEX('Bonds calculation'!$G$6:$G$40,MATCH(B235,'Bonds calculation'!$A$6:$A$40,0)),0)</f>
        <v/>
      </c>
    </row>
    <row r="236">
      <c r="A236" s="6" t="inlineStr">
        <is>
          <t>2015-03</t>
        </is>
      </c>
      <c r="B236" s="6" t="n">
        <v>2015</v>
      </c>
      <c r="C236" s="27" t="n">
        <v>8491</v>
      </c>
      <c r="D236" s="30" t="inlineStr">
        <is>
          <t>2015-03-31</t>
        </is>
      </c>
      <c r="E236" s="27" t="n">
        <v>26232</v>
      </c>
      <c r="F236" s="30" t="inlineStr">
        <is>
          <t>2015-03-31</t>
        </is>
      </c>
      <c r="G236" s="22">
        <f>E236/10*$P$1</f>
        <v/>
      </c>
      <c r="H236" s="26" t="n">
        <v>4.91</v>
      </c>
      <c r="I236" s="16">
        <f>IF(3=INDEX('Bonds calculation'!$L$6:$L$40,MATCH(B236,'Bonds calculation'!$A$6:$A$40,0)),INDEX('Bonds calculation'!$G$6:$G$40,MATCH(B236,'Bonds calculation'!$A$6:$A$40,0)),0)</f>
        <v/>
      </c>
    </row>
    <row r="237">
      <c r="A237" s="6" t="inlineStr">
        <is>
          <t>2015-04</t>
        </is>
      </c>
      <c r="B237" s="6" t="n">
        <v>2015</v>
      </c>
      <c r="C237" s="27" t="n">
        <v>8181.5</v>
      </c>
      <c r="D237" s="30" t="inlineStr">
        <is>
          <t>2015-04-30</t>
        </is>
      </c>
      <c r="E237" s="27" t="n">
        <v>27047</v>
      </c>
      <c r="F237" s="30" t="inlineStr">
        <is>
          <t>2015-04-30</t>
        </is>
      </c>
      <c r="G237" s="22">
        <f>E237/10*$P$1</f>
        <v/>
      </c>
      <c r="H237" s="26" t="n">
        <v>4.91</v>
      </c>
      <c r="I237" s="16">
        <f>IF(4=INDEX('Bonds calculation'!$L$6:$L$40,MATCH(B237,'Bonds calculation'!$A$6:$A$40,0)),INDEX('Bonds calculation'!$G$6:$G$40,MATCH(B237,'Bonds calculation'!$A$6:$A$40,0)),0)</f>
        <v/>
      </c>
    </row>
    <row r="238">
      <c r="A238" s="6" t="inlineStr">
        <is>
          <t>2015-05</t>
        </is>
      </c>
      <c r="B238" s="6" t="n">
        <v>2015</v>
      </c>
      <c r="C238" s="27" t="n">
        <v>8433.65</v>
      </c>
      <c r="D238" s="30" t="inlineStr">
        <is>
          <t>2015-05-29</t>
        </is>
      </c>
      <c r="E238" s="27" t="n">
        <v>26843</v>
      </c>
      <c r="F238" s="30" t="inlineStr">
        <is>
          <t>2015-05-29</t>
        </is>
      </c>
      <c r="G238" s="22">
        <f>E238/10*$P$1</f>
        <v/>
      </c>
      <c r="H238" s="26" t="n">
        <v>4.91</v>
      </c>
      <c r="I238" s="16">
        <f>IF(5=INDEX('Bonds calculation'!$L$6:$L$40,MATCH(B238,'Bonds calculation'!$A$6:$A$40,0)),INDEX('Bonds calculation'!$G$6:$G$40,MATCH(B238,'Bonds calculation'!$A$6:$A$40,0)),0)</f>
        <v/>
      </c>
    </row>
    <row r="239">
      <c r="A239" s="6" t="inlineStr">
        <is>
          <t>2015-06</t>
        </is>
      </c>
      <c r="B239" s="6" t="n">
        <v>2015</v>
      </c>
      <c r="C239" s="27" t="n">
        <v>8368.5</v>
      </c>
      <c r="D239" s="30" t="inlineStr">
        <is>
          <t>2015-06-30</t>
        </is>
      </c>
      <c r="E239" s="27" t="n">
        <v>26356</v>
      </c>
      <c r="F239" s="30" t="inlineStr">
        <is>
          <t>2015-06-30</t>
        </is>
      </c>
      <c r="G239" s="22">
        <f>E239/10*$P$1</f>
        <v/>
      </c>
      <c r="H239" s="26" t="n">
        <v>4.91</v>
      </c>
      <c r="I239" s="16">
        <f>IF(6=INDEX('Bonds calculation'!$L$6:$L$40,MATCH(B239,'Bonds calculation'!$A$6:$A$40,0)),INDEX('Bonds calculation'!$G$6:$G$40,MATCH(B239,'Bonds calculation'!$A$6:$A$40,0)),0)</f>
        <v/>
      </c>
    </row>
    <row r="240">
      <c r="A240" s="6" t="inlineStr">
        <is>
          <t>2015-07</t>
        </is>
      </c>
      <c r="B240" s="6" t="n">
        <v>2015</v>
      </c>
      <c r="C240" s="27" t="n">
        <v>8532.85</v>
      </c>
      <c r="D240" s="30" t="inlineStr">
        <is>
          <t>2015-07-31</t>
        </is>
      </c>
      <c r="E240" s="27" t="n">
        <v>24592</v>
      </c>
      <c r="F240" s="30" t="inlineStr">
        <is>
          <t>2015-07-31</t>
        </is>
      </c>
      <c r="G240" s="22">
        <f>E240/10*$P$1</f>
        <v/>
      </c>
      <c r="H240" s="26" t="n">
        <v>4.91</v>
      </c>
      <c r="I240" s="16">
        <f>IF(7=INDEX('Bonds calculation'!$L$6:$L$40,MATCH(B240,'Bonds calculation'!$A$6:$A$40,0)),INDEX('Bonds calculation'!$G$6:$G$40,MATCH(B240,'Bonds calculation'!$A$6:$A$40,0)),0)</f>
        <v/>
      </c>
    </row>
    <row r="241">
      <c r="A241" s="6" t="inlineStr">
        <is>
          <t>2015-08</t>
        </is>
      </c>
      <c r="B241" s="6" t="n">
        <v>2015</v>
      </c>
      <c r="C241" s="27" t="n">
        <v>7971.3</v>
      </c>
      <c r="D241" s="30" t="inlineStr">
        <is>
          <t>2015-08-31</t>
        </is>
      </c>
      <c r="E241" s="27" t="n">
        <v>26556</v>
      </c>
      <c r="F241" s="30" t="inlineStr">
        <is>
          <t>2015-08-31</t>
        </is>
      </c>
      <c r="G241" s="22">
        <f>E241/10*$P$1</f>
        <v/>
      </c>
      <c r="H241" s="26" t="n">
        <v>4.91</v>
      </c>
      <c r="I241" s="16">
        <f>IF(8=INDEX('Bonds calculation'!$L$6:$L$40,MATCH(B241,'Bonds calculation'!$A$6:$A$40,0)),INDEX('Bonds calculation'!$G$6:$G$40,MATCH(B241,'Bonds calculation'!$A$6:$A$40,0)),0)</f>
        <v/>
      </c>
    </row>
    <row r="242">
      <c r="A242" s="6" t="inlineStr">
        <is>
          <t>2015-09</t>
        </is>
      </c>
      <c r="B242" s="6" t="n">
        <v>2015</v>
      </c>
      <c r="C242" s="27" t="n">
        <v>7948.9</v>
      </c>
      <c r="D242" s="30" t="inlineStr">
        <is>
          <t>2015-09-30</t>
        </is>
      </c>
      <c r="E242" s="27" t="n">
        <v>25979</v>
      </c>
      <c r="F242" s="30" t="inlineStr">
        <is>
          <t>2015-09-30</t>
        </is>
      </c>
      <c r="G242" s="22">
        <f>E242/10*$P$1</f>
        <v/>
      </c>
      <c r="H242" s="26" t="n">
        <v>4.91</v>
      </c>
      <c r="I242" s="16">
        <f>IF(9=INDEX('Bonds calculation'!$L$6:$L$40,MATCH(B242,'Bonds calculation'!$A$6:$A$40,0)),INDEX('Bonds calculation'!$G$6:$G$40,MATCH(B242,'Bonds calculation'!$A$6:$A$40,0)),0)</f>
        <v/>
      </c>
    </row>
    <row r="243">
      <c r="A243" s="6" t="inlineStr">
        <is>
          <t>2015-10</t>
        </is>
      </c>
      <c r="B243" s="6" t="n">
        <v>2015</v>
      </c>
      <c r="C243" s="27" t="n">
        <v>8065.8</v>
      </c>
      <c r="D243" s="30" t="inlineStr">
        <is>
          <t>2015-10-30</t>
        </is>
      </c>
      <c r="E243" s="27" t="n">
        <v>26461</v>
      </c>
      <c r="F243" s="30" t="inlineStr">
        <is>
          <t>2015-10-30</t>
        </is>
      </c>
      <c r="G243" s="22">
        <f>E243/10*$P$1</f>
        <v/>
      </c>
      <c r="H243" s="26" t="n">
        <v>4.91</v>
      </c>
      <c r="I243" s="16">
        <f>IF(10=INDEX('Bonds calculation'!$L$6:$L$40,MATCH(B243,'Bonds calculation'!$A$6:$A$40,0)),INDEX('Bonds calculation'!$G$6:$G$40,MATCH(B243,'Bonds calculation'!$A$6:$A$40,0)),0)</f>
        <v/>
      </c>
    </row>
    <row r="244">
      <c r="A244" s="6" t="inlineStr">
        <is>
          <t>2015-11</t>
        </is>
      </c>
      <c r="B244" s="6" t="n">
        <v>2015</v>
      </c>
      <c r="C244" s="27" t="n">
        <v>7935.25</v>
      </c>
      <c r="D244" s="30" t="inlineStr">
        <is>
          <t>2015-11-30</t>
        </is>
      </c>
      <c r="E244" s="27" t="n">
        <v>25049</v>
      </c>
      <c r="F244" s="30" t="inlineStr">
        <is>
          <t>2015-11-30</t>
        </is>
      </c>
      <c r="G244" s="22">
        <f>E244/10*$P$1</f>
        <v/>
      </c>
      <c r="H244" s="26" t="n">
        <v>4.91</v>
      </c>
      <c r="I244" s="16">
        <f>IF(11=INDEX('Bonds calculation'!$L$6:$L$40,MATCH(B244,'Bonds calculation'!$A$6:$A$40,0)),INDEX('Bonds calculation'!$G$6:$G$40,MATCH(B244,'Bonds calculation'!$A$6:$A$40,0)),0)</f>
        <v/>
      </c>
    </row>
    <row r="245">
      <c r="A245" s="6" t="inlineStr">
        <is>
          <t>2015-12</t>
        </is>
      </c>
      <c r="B245" s="6" t="n">
        <v>2015</v>
      </c>
      <c r="C245" s="27" t="n">
        <v>7946.35</v>
      </c>
      <c r="D245" s="30" t="inlineStr">
        <is>
          <t>2015-12-31</t>
        </is>
      </c>
      <c r="E245" s="27" t="n">
        <v>24994</v>
      </c>
      <c r="F245" s="30" t="inlineStr">
        <is>
          <t>2015-12-31</t>
        </is>
      </c>
      <c r="G245" s="22">
        <f>E245/10*$P$1</f>
        <v/>
      </c>
      <c r="H245" s="26" t="n">
        <v>4.91</v>
      </c>
      <c r="I245" s="16">
        <f>IF(12=INDEX('Bonds calculation'!$L$6:$L$40,MATCH(B245,'Bonds calculation'!$A$6:$A$40,0)),INDEX('Bonds calculation'!$G$6:$G$40,MATCH(B245,'Bonds calculation'!$A$6:$A$40,0)),0)</f>
        <v/>
      </c>
    </row>
    <row r="246">
      <c r="A246" s="6" t="inlineStr">
        <is>
          <t>2016-01</t>
        </is>
      </c>
      <c r="B246" s="6" t="n">
        <v>2016</v>
      </c>
      <c r="C246" s="27" t="n">
        <v>7563.55</v>
      </c>
      <c r="D246" s="30" t="inlineStr">
        <is>
          <t>2016-01-29</t>
        </is>
      </c>
      <c r="E246" s="27" t="n">
        <v>26575</v>
      </c>
      <c r="F246" s="30" t="inlineStr">
        <is>
          <t>2016-01-29</t>
        </is>
      </c>
      <c r="G246" s="22">
        <f>E246/10*$P$1</f>
        <v/>
      </c>
      <c r="H246" s="26" t="n">
        <v>4.95</v>
      </c>
      <c r="I246" s="16">
        <f>IF(1=INDEX('Bonds calculation'!$L$6:$L$40,MATCH(B246,'Bonds calculation'!$A$6:$A$40,0)),INDEX('Bonds calculation'!$G$6:$G$40,MATCH(B246,'Bonds calculation'!$A$6:$A$40,0)),0)</f>
        <v/>
      </c>
    </row>
    <row r="247">
      <c r="A247" s="6" t="inlineStr">
        <is>
          <t>2016-02</t>
        </is>
      </c>
      <c r="B247" s="6" t="n">
        <v>2016</v>
      </c>
      <c r="C247" s="27" t="n">
        <v>6987.05</v>
      </c>
      <c r="D247" s="30" t="inlineStr">
        <is>
          <t>2016-02-29</t>
        </is>
      </c>
      <c r="E247" s="27" t="n">
        <v>29181</v>
      </c>
      <c r="F247" s="30" t="inlineStr">
        <is>
          <t>2016-02-29</t>
        </is>
      </c>
      <c r="G247" s="22">
        <f>E247/10*$P$1</f>
        <v/>
      </c>
      <c r="H247" s="26" t="n">
        <v>4.95</v>
      </c>
      <c r="I247" s="16">
        <f>IF(2=INDEX('Bonds calculation'!$L$6:$L$40,MATCH(B247,'Bonds calculation'!$A$6:$A$40,0)),INDEX('Bonds calculation'!$G$6:$G$40,MATCH(B247,'Bonds calculation'!$A$6:$A$40,0)),0)</f>
        <v/>
      </c>
    </row>
    <row r="248">
      <c r="A248" s="6" t="inlineStr">
        <is>
          <t>2016-03</t>
        </is>
      </c>
      <c r="B248" s="6" t="n">
        <v>2016</v>
      </c>
      <c r="C248" s="27" t="n">
        <v>7738.4</v>
      </c>
      <c r="D248" s="30" t="inlineStr">
        <is>
          <t>2016-03-31</t>
        </is>
      </c>
      <c r="E248" s="27" t="n">
        <v>29080</v>
      </c>
      <c r="F248" s="30" t="inlineStr">
        <is>
          <t>2016-03-31</t>
        </is>
      </c>
      <c r="G248" s="22">
        <f>E248/10*$P$1</f>
        <v/>
      </c>
      <c r="H248" s="26" t="n">
        <v>4.95</v>
      </c>
      <c r="I248" s="16">
        <f>IF(3=INDEX('Bonds calculation'!$L$6:$L$40,MATCH(B248,'Bonds calculation'!$A$6:$A$40,0)),INDEX('Bonds calculation'!$G$6:$G$40,MATCH(B248,'Bonds calculation'!$A$6:$A$40,0)),0)</f>
        <v/>
      </c>
    </row>
    <row r="249">
      <c r="A249" s="6" t="inlineStr">
        <is>
          <t>2016-04</t>
        </is>
      </c>
      <c r="B249" s="6" t="n">
        <v>2016</v>
      </c>
      <c r="C249" s="27" t="n">
        <v>7849.8</v>
      </c>
      <c r="D249" s="30" t="inlineStr">
        <is>
          <t>2016-04-29</t>
        </is>
      </c>
      <c r="E249" s="27" t="n">
        <v>29918</v>
      </c>
      <c r="F249" s="30" t="inlineStr">
        <is>
          <t>2016-04-29</t>
        </is>
      </c>
      <c r="G249" s="22">
        <f>E249/10*$P$1</f>
        <v/>
      </c>
      <c r="H249" s="26" t="n">
        <v>4.95</v>
      </c>
      <c r="I249" s="16">
        <f>IF(4=INDEX('Bonds calculation'!$L$6:$L$40,MATCH(B249,'Bonds calculation'!$A$6:$A$40,0)),INDEX('Bonds calculation'!$G$6:$G$40,MATCH(B249,'Bonds calculation'!$A$6:$A$40,0)),0)</f>
        <v/>
      </c>
    </row>
    <row r="250">
      <c r="A250" s="6" t="inlineStr">
        <is>
          <t>2016-05</t>
        </is>
      </c>
      <c r="B250" s="6" t="n">
        <v>2016</v>
      </c>
      <c r="C250" s="27" t="n">
        <v>8160.1</v>
      </c>
      <c r="D250" s="30" t="inlineStr">
        <is>
          <t>2016-05-31</t>
        </is>
      </c>
      <c r="E250" s="27" t="n">
        <v>28615</v>
      </c>
      <c r="F250" s="30" t="inlineStr">
        <is>
          <t>2016-05-31</t>
        </is>
      </c>
      <c r="G250" s="22">
        <f>E250/10*$P$1</f>
        <v/>
      </c>
      <c r="H250" s="26" t="n">
        <v>4.95</v>
      </c>
      <c r="I250" s="16">
        <f>IF(5=INDEX('Bonds calculation'!$L$6:$L$40,MATCH(B250,'Bonds calculation'!$A$6:$A$40,0)),INDEX('Bonds calculation'!$G$6:$G$40,MATCH(B250,'Bonds calculation'!$A$6:$A$40,0)),0)</f>
        <v/>
      </c>
    </row>
    <row r="251">
      <c r="A251" s="6" t="inlineStr">
        <is>
          <t>2016-06</t>
        </is>
      </c>
      <c r="B251" s="6" t="n">
        <v>2016</v>
      </c>
      <c r="C251" s="27" t="n">
        <v>8287.75</v>
      </c>
      <c r="D251" s="30" t="inlineStr">
        <is>
          <t>2016-06-30</t>
        </is>
      </c>
      <c r="E251" s="27" t="n">
        <v>30539</v>
      </c>
      <c r="F251" s="30" t="inlineStr">
        <is>
          <t>2016-06-30</t>
        </is>
      </c>
      <c r="G251" s="22">
        <f>E251/10*$P$1</f>
        <v/>
      </c>
      <c r="H251" s="26" t="n">
        <v>4.95</v>
      </c>
      <c r="I251" s="16">
        <f>IF(6=INDEX('Bonds calculation'!$L$6:$L$40,MATCH(B251,'Bonds calculation'!$A$6:$A$40,0)),INDEX('Bonds calculation'!$G$6:$G$40,MATCH(B251,'Bonds calculation'!$A$6:$A$40,0)),0)</f>
        <v/>
      </c>
    </row>
    <row r="252">
      <c r="A252" s="6" t="inlineStr">
        <is>
          <t>2016-07</t>
        </is>
      </c>
      <c r="B252" s="6" t="n">
        <v>2016</v>
      </c>
      <c r="C252" s="27" t="n">
        <v>8638.5</v>
      </c>
      <c r="D252" s="30" t="inlineStr">
        <is>
          <t>2016-07-29</t>
        </is>
      </c>
      <c r="E252" s="27" t="n">
        <v>30939</v>
      </c>
      <c r="F252" s="30" t="inlineStr">
        <is>
          <t>2016-07-29</t>
        </is>
      </c>
      <c r="G252" s="22">
        <f>E252/10*$P$1</f>
        <v/>
      </c>
      <c r="H252" s="26" t="n">
        <v>4.95</v>
      </c>
      <c r="I252" s="16">
        <f>IF(7=INDEX('Bonds calculation'!$L$6:$L$40,MATCH(B252,'Bonds calculation'!$A$6:$A$40,0)),INDEX('Bonds calculation'!$G$6:$G$40,MATCH(B252,'Bonds calculation'!$A$6:$A$40,0)),0)</f>
        <v/>
      </c>
    </row>
    <row r="253">
      <c r="A253" s="6" t="inlineStr">
        <is>
          <t>2016-08</t>
        </is>
      </c>
      <c r="B253" s="6" t="n">
        <v>2016</v>
      </c>
      <c r="C253" s="27" t="n">
        <v>8786.200000000001</v>
      </c>
      <c r="D253" s="30" t="inlineStr">
        <is>
          <t>2016-08-31</t>
        </is>
      </c>
      <c r="E253" s="27" t="n">
        <v>30814</v>
      </c>
      <c r="F253" s="30" t="inlineStr">
        <is>
          <t>2016-08-31</t>
        </is>
      </c>
      <c r="G253" s="22">
        <f>E253/10*$P$1</f>
        <v/>
      </c>
      <c r="H253" s="26" t="n">
        <v>4.95</v>
      </c>
      <c r="I253" s="16">
        <f>IF(8=INDEX('Bonds calculation'!$L$6:$L$40,MATCH(B253,'Bonds calculation'!$A$6:$A$40,0)),INDEX('Bonds calculation'!$G$6:$G$40,MATCH(B253,'Bonds calculation'!$A$6:$A$40,0)),0)</f>
        <v/>
      </c>
    </row>
    <row r="254">
      <c r="A254" s="6" t="inlineStr">
        <is>
          <t>2016-09</t>
        </is>
      </c>
      <c r="B254" s="6" t="n">
        <v>2016</v>
      </c>
      <c r="C254" s="27" t="n">
        <v>8611.15</v>
      </c>
      <c r="D254" s="30" t="inlineStr">
        <is>
          <t>2016-09-30</t>
        </is>
      </c>
      <c r="E254" s="27" t="n">
        <v>31175</v>
      </c>
      <c r="F254" s="30" t="inlineStr">
        <is>
          <t>2016-09-30</t>
        </is>
      </c>
      <c r="G254" s="22">
        <f>E254/10*$P$1</f>
        <v/>
      </c>
      <c r="H254" s="26" t="n">
        <v>4.95</v>
      </c>
      <c r="I254" s="16">
        <f>IF(9=INDEX('Bonds calculation'!$L$6:$L$40,MATCH(B254,'Bonds calculation'!$A$6:$A$40,0)),INDEX('Bonds calculation'!$G$6:$G$40,MATCH(B254,'Bonds calculation'!$A$6:$A$40,0)),0)</f>
        <v/>
      </c>
    </row>
    <row r="255">
      <c r="A255" s="6" t="inlineStr">
        <is>
          <t>2016-10</t>
        </is>
      </c>
      <c r="B255" s="6" t="n">
        <v>2016</v>
      </c>
      <c r="C255" s="27" t="n">
        <v>8625.700000000001</v>
      </c>
      <c r="D255" s="30" t="inlineStr">
        <is>
          <t>2016-10-30</t>
        </is>
      </c>
      <c r="E255" s="27" t="n">
        <v>30049</v>
      </c>
      <c r="F255" s="30" t="inlineStr">
        <is>
          <t>2016-10-28</t>
        </is>
      </c>
      <c r="G255" s="22">
        <f>E255/10*$P$1</f>
        <v/>
      </c>
      <c r="H255" s="26" t="n">
        <v>4.95</v>
      </c>
      <c r="I255" s="16">
        <f>IF(10=INDEX('Bonds calculation'!$L$6:$L$40,MATCH(B255,'Bonds calculation'!$A$6:$A$40,0)),INDEX('Bonds calculation'!$G$6:$G$40,MATCH(B255,'Bonds calculation'!$A$6:$A$40,0)),0)</f>
        <v/>
      </c>
    </row>
    <row r="256">
      <c r="A256" s="6" t="inlineStr">
        <is>
          <t>2016-11</t>
        </is>
      </c>
      <c r="B256" s="6" t="n">
        <v>2016</v>
      </c>
      <c r="C256" s="27" t="n">
        <v>8224.5</v>
      </c>
      <c r="D256" s="30" t="inlineStr">
        <is>
          <t>2016-11-30</t>
        </is>
      </c>
      <c r="E256" s="27" t="n">
        <v>28837</v>
      </c>
      <c r="F256" s="30" t="inlineStr">
        <is>
          <t>2016-11-30</t>
        </is>
      </c>
      <c r="G256" s="22">
        <f>E256/10*$P$1</f>
        <v/>
      </c>
      <c r="H256" s="26" t="n">
        <v>4.95</v>
      </c>
      <c r="I256" s="16">
        <f>IF(11=INDEX('Bonds calculation'!$L$6:$L$40,MATCH(B256,'Bonds calculation'!$A$6:$A$40,0)),INDEX('Bonds calculation'!$G$6:$G$40,MATCH(B256,'Bonds calculation'!$A$6:$A$40,0)),0)</f>
        <v/>
      </c>
    </row>
    <row r="257">
      <c r="A257" s="6" t="inlineStr">
        <is>
          <t>2016-12</t>
        </is>
      </c>
      <c r="B257" s="6" t="n">
        <v>2016</v>
      </c>
      <c r="C257" s="27" t="n">
        <v>8185.8</v>
      </c>
      <c r="D257" s="30" t="inlineStr">
        <is>
          <t>2016-12-30</t>
        </is>
      </c>
      <c r="E257" s="27" t="n">
        <v>27830</v>
      </c>
      <c r="F257" s="30" t="inlineStr">
        <is>
          <t>2016-12-30</t>
        </is>
      </c>
      <c r="G257" s="22">
        <f>E257/10*$P$1</f>
        <v/>
      </c>
      <c r="H257" s="26" t="n">
        <v>4.95</v>
      </c>
      <c r="I257" s="16">
        <f>IF(12=INDEX('Bonds calculation'!$L$6:$L$40,MATCH(B257,'Bonds calculation'!$A$6:$A$40,0)),INDEX('Bonds calculation'!$G$6:$G$40,MATCH(B257,'Bonds calculation'!$A$6:$A$40,0)),0)</f>
        <v/>
      </c>
    </row>
    <row r="258">
      <c r="A258" s="6" t="inlineStr">
        <is>
          <t>2017-01</t>
        </is>
      </c>
      <c r="B258" s="6" t="n">
        <v>2017</v>
      </c>
      <c r="C258" s="27" t="n">
        <v>8561.299999999999</v>
      </c>
      <c r="D258" s="30" t="inlineStr">
        <is>
          <t>2017-01-31</t>
        </is>
      </c>
      <c r="E258" s="27" t="n">
        <v>29008</v>
      </c>
      <c r="F258" s="30" t="inlineStr">
        <is>
          <t>2017-01-31</t>
        </is>
      </c>
      <c r="G258" s="22">
        <f>E258/10*$P$1</f>
        <v/>
      </c>
      <c r="H258" s="26" t="n">
        <v>3.33</v>
      </c>
      <c r="I258" s="16">
        <f>IF(1=INDEX('Bonds calculation'!$L$6:$L$40,MATCH(B258,'Bonds calculation'!$A$6:$A$40,0)),INDEX('Bonds calculation'!$G$6:$G$40,MATCH(B258,'Bonds calculation'!$A$6:$A$40,0)),0)</f>
        <v/>
      </c>
    </row>
    <row r="259">
      <c r="A259" s="6" t="inlineStr">
        <is>
          <t>2017-02</t>
        </is>
      </c>
      <c r="B259" s="6" t="n">
        <v>2017</v>
      </c>
      <c r="C259" s="27" t="n">
        <v>8879.6</v>
      </c>
      <c r="D259" s="30" t="inlineStr">
        <is>
          <t>2017-02-28</t>
        </is>
      </c>
      <c r="E259" s="27" t="n">
        <v>29591</v>
      </c>
      <c r="F259" s="30" t="inlineStr">
        <is>
          <t>2017-02-28</t>
        </is>
      </c>
      <c r="G259" s="22">
        <f>E259/10*$P$1</f>
        <v/>
      </c>
      <c r="H259" s="26" t="n">
        <v>3.33</v>
      </c>
      <c r="I259" s="16">
        <f>IF(2=INDEX('Bonds calculation'!$L$6:$L$40,MATCH(B259,'Bonds calculation'!$A$6:$A$40,0)),INDEX('Bonds calculation'!$G$6:$G$40,MATCH(B259,'Bonds calculation'!$A$6:$A$40,0)),0)</f>
        <v/>
      </c>
    </row>
    <row r="260">
      <c r="A260" s="6" t="inlineStr">
        <is>
          <t>2017-03</t>
        </is>
      </c>
      <c r="B260" s="6" t="n">
        <v>2017</v>
      </c>
      <c r="C260" s="27" t="n">
        <v>9173.75</v>
      </c>
      <c r="D260" s="30" t="inlineStr">
        <is>
          <t>2017-03-31</t>
        </is>
      </c>
      <c r="E260" s="27" t="n">
        <v>28527</v>
      </c>
      <c r="F260" s="30" t="inlineStr">
        <is>
          <t>2017-03-31</t>
        </is>
      </c>
      <c r="G260" s="22">
        <f>E260/10*$P$1</f>
        <v/>
      </c>
      <c r="H260" s="26" t="n">
        <v>3.33</v>
      </c>
      <c r="I260" s="16">
        <f>IF(3=INDEX('Bonds calculation'!$L$6:$L$40,MATCH(B260,'Bonds calculation'!$A$6:$A$40,0)),INDEX('Bonds calculation'!$G$6:$G$40,MATCH(B260,'Bonds calculation'!$A$6:$A$40,0)),0)</f>
        <v/>
      </c>
    </row>
    <row r="261">
      <c r="A261" s="6" t="inlineStr">
        <is>
          <t>2017-04</t>
        </is>
      </c>
      <c r="B261" s="6" t="n">
        <v>2017</v>
      </c>
      <c r="C261" s="27" t="n">
        <v>9304.049999999999</v>
      </c>
      <c r="D261" s="30" t="inlineStr">
        <is>
          <t>2017-04-28</t>
        </is>
      </c>
      <c r="E261" s="27" t="n">
        <v>28887</v>
      </c>
      <c r="F261" s="30" t="inlineStr">
        <is>
          <t>2017-04-28</t>
        </is>
      </c>
      <c r="G261" s="22">
        <f>E261/10*$P$1</f>
        <v/>
      </c>
      <c r="H261" s="26" t="n">
        <v>3.33</v>
      </c>
      <c r="I261" s="16">
        <f>IF(4=INDEX('Bonds calculation'!$L$6:$L$40,MATCH(B261,'Bonds calculation'!$A$6:$A$40,0)),INDEX('Bonds calculation'!$G$6:$G$40,MATCH(B261,'Bonds calculation'!$A$6:$A$40,0)),0)</f>
        <v/>
      </c>
    </row>
    <row r="262">
      <c r="A262" s="6" t="inlineStr">
        <is>
          <t>2017-05</t>
        </is>
      </c>
      <c r="B262" s="6" t="n">
        <v>2017</v>
      </c>
      <c r="C262" s="27" t="n">
        <v>9621.25</v>
      </c>
      <c r="D262" s="30" t="inlineStr">
        <is>
          <t>2017-05-31</t>
        </is>
      </c>
      <c r="E262" s="27" t="n">
        <v>28839</v>
      </c>
      <c r="F262" s="30" t="inlineStr">
        <is>
          <t>2017-05-31</t>
        </is>
      </c>
      <c r="G262" s="22">
        <f>E262/10*$P$1</f>
        <v/>
      </c>
      <c r="H262" s="26" t="n">
        <v>3.33</v>
      </c>
      <c r="I262" s="16">
        <f>IF(5=INDEX('Bonds calculation'!$L$6:$L$40,MATCH(B262,'Bonds calculation'!$A$6:$A$40,0)),INDEX('Bonds calculation'!$G$6:$G$40,MATCH(B262,'Bonds calculation'!$A$6:$A$40,0)),0)</f>
        <v/>
      </c>
    </row>
    <row r="263">
      <c r="A263" s="6" t="inlineStr">
        <is>
          <t>2017-06</t>
        </is>
      </c>
      <c r="B263" s="6" t="n">
        <v>2017</v>
      </c>
      <c r="C263" s="27" t="n">
        <v>9520.9</v>
      </c>
      <c r="D263" s="30" t="inlineStr">
        <is>
          <t>2017-06-30</t>
        </is>
      </c>
      <c r="E263" s="27" t="n">
        <v>28803</v>
      </c>
      <c r="F263" s="30" t="inlineStr">
        <is>
          <t>2017-06-30</t>
        </is>
      </c>
      <c r="G263" s="22">
        <f>E263/10*$P$1</f>
        <v/>
      </c>
      <c r="H263" s="26" t="n">
        <v>3.33</v>
      </c>
      <c r="I263" s="16">
        <f>IF(6=INDEX('Bonds calculation'!$L$6:$L$40,MATCH(B263,'Bonds calculation'!$A$6:$A$40,0)),INDEX('Bonds calculation'!$G$6:$G$40,MATCH(B263,'Bonds calculation'!$A$6:$A$40,0)),0)</f>
        <v/>
      </c>
    </row>
    <row r="264">
      <c r="A264" s="6" t="inlineStr">
        <is>
          <t>2017-07</t>
        </is>
      </c>
      <c r="B264" s="6" t="n">
        <v>2017</v>
      </c>
      <c r="C264" s="27" t="n">
        <v>10077.1</v>
      </c>
      <c r="D264" s="30" t="inlineStr">
        <is>
          <t>2017-07-31</t>
        </is>
      </c>
      <c r="E264" s="27" t="n">
        <v>28513</v>
      </c>
      <c r="F264" s="30" t="inlineStr">
        <is>
          <t>2017-07-31</t>
        </is>
      </c>
      <c r="G264" s="22">
        <f>E264/10*$P$1</f>
        <v/>
      </c>
      <c r="H264" s="26" t="n">
        <v>3.33</v>
      </c>
      <c r="I264" s="16">
        <f>IF(7=INDEX('Bonds calculation'!$L$6:$L$40,MATCH(B264,'Bonds calculation'!$A$6:$A$40,0)),INDEX('Bonds calculation'!$G$6:$G$40,MATCH(B264,'Bonds calculation'!$A$6:$A$40,0)),0)</f>
        <v/>
      </c>
    </row>
    <row r="265">
      <c r="A265" s="6" t="inlineStr">
        <is>
          <t>2017-08</t>
        </is>
      </c>
      <c r="B265" s="6" t="n">
        <v>2017</v>
      </c>
      <c r="C265" s="27" t="n">
        <v>9917.9</v>
      </c>
      <c r="D265" s="30" t="inlineStr">
        <is>
          <t>2017-08-31</t>
        </is>
      </c>
      <c r="E265" s="27" t="n">
        <v>29456</v>
      </c>
      <c r="F265" s="30" t="inlineStr">
        <is>
          <t>2017-08-31</t>
        </is>
      </c>
      <c r="G265" s="22">
        <f>E265/10*$P$1</f>
        <v/>
      </c>
      <c r="H265" s="26" t="n">
        <v>3.33</v>
      </c>
      <c r="I265" s="16">
        <f>IF(8=INDEX('Bonds calculation'!$L$6:$L$40,MATCH(B265,'Bonds calculation'!$A$6:$A$40,0)),INDEX('Bonds calculation'!$G$6:$G$40,MATCH(B265,'Bonds calculation'!$A$6:$A$40,0)),0)</f>
        <v/>
      </c>
    </row>
    <row r="266">
      <c r="A266" s="6" t="inlineStr">
        <is>
          <t>2017-09</t>
        </is>
      </c>
      <c r="B266" s="6" t="n">
        <v>2017</v>
      </c>
      <c r="C266" s="27" t="n">
        <v>9788.6</v>
      </c>
      <c r="D266" s="30" t="inlineStr">
        <is>
          <t>2017-09-29</t>
        </is>
      </c>
      <c r="E266" s="27" t="n">
        <v>29692</v>
      </c>
      <c r="F266" s="30" t="inlineStr">
        <is>
          <t>2017-09-29</t>
        </is>
      </c>
      <c r="G266" s="22">
        <f>E266/10*$P$1</f>
        <v/>
      </c>
      <c r="H266" s="26" t="n">
        <v>3.33</v>
      </c>
      <c r="I266" s="16">
        <f>IF(9=INDEX('Bonds calculation'!$L$6:$L$40,MATCH(B266,'Bonds calculation'!$A$6:$A$40,0)),INDEX('Bonds calculation'!$G$6:$G$40,MATCH(B266,'Bonds calculation'!$A$6:$A$40,0)),0)</f>
        <v/>
      </c>
    </row>
    <row r="267">
      <c r="A267" s="6" t="inlineStr">
        <is>
          <t>2017-10</t>
        </is>
      </c>
      <c r="B267" s="6" t="n">
        <v>2017</v>
      </c>
      <c r="C267" s="27" t="n">
        <v>10335.3</v>
      </c>
      <c r="D267" s="30" t="inlineStr">
        <is>
          <t>2017-10-31</t>
        </is>
      </c>
      <c r="E267" s="27" t="n">
        <v>29333</v>
      </c>
      <c r="F267" s="30" t="inlineStr">
        <is>
          <t>2017-10-31</t>
        </is>
      </c>
      <c r="G267" s="22">
        <f>E267/10*$P$1</f>
        <v/>
      </c>
      <c r="H267" s="26" t="n">
        <v>3.33</v>
      </c>
      <c r="I267" s="16">
        <f>IF(10=INDEX('Bonds calculation'!$L$6:$L$40,MATCH(B267,'Bonds calculation'!$A$6:$A$40,0)),INDEX('Bonds calculation'!$G$6:$G$40,MATCH(B267,'Bonds calculation'!$A$6:$A$40,0)),0)</f>
        <v/>
      </c>
    </row>
    <row r="268">
      <c r="A268" s="6" t="inlineStr">
        <is>
          <t>2017-11</t>
        </is>
      </c>
      <c r="B268" s="6" t="n">
        <v>2017</v>
      </c>
      <c r="C268" s="27" t="n">
        <v>10226.55</v>
      </c>
      <c r="D268" s="30" t="inlineStr">
        <is>
          <t>2017-11-30</t>
        </is>
      </c>
      <c r="E268" s="27" t="n">
        <v>29236</v>
      </c>
      <c r="F268" s="30" t="inlineStr">
        <is>
          <t>2017-11-30</t>
        </is>
      </c>
      <c r="G268" s="22">
        <f>E268/10*$P$1</f>
        <v/>
      </c>
      <c r="H268" s="26" t="n">
        <v>3.33</v>
      </c>
      <c r="I268" s="16">
        <f>IF(11=INDEX('Bonds calculation'!$L$6:$L$40,MATCH(B268,'Bonds calculation'!$A$6:$A$40,0)),INDEX('Bonds calculation'!$G$6:$G$40,MATCH(B268,'Bonds calculation'!$A$6:$A$40,0)),0)</f>
        <v/>
      </c>
    </row>
    <row r="269">
      <c r="A269" s="6" t="inlineStr">
        <is>
          <t>2017-12</t>
        </is>
      </c>
      <c r="B269" s="6" t="n">
        <v>2017</v>
      </c>
      <c r="C269" s="27" t="n">
        <v>10530.7</v>
      </c>
      <c r="D269" s="30" t="inlineStr">
        <is>
          <t>2017-12-29</t>
        </is>
      </c>
      <c r="E269" s="27" t="n">
        <v>29252</v>
      </c>
      <c r="F269" s="30" t="inlineStr">
        <is>
          <t>2017-12-29</t>
        </is>
      </c>
      <c r="G269" s="22">
        <f>E269/10*$P$1</f>
        <v/>
      </c>
      <c r="H269" s="26" t="n">
        <v>3.33</v>
      </c>
      <c r="I269" s="16">
        <f>IF(12=INDEX('Bonds calculation'!$L$6:$L$40,MATCH(B269,'Bonds calculation'!$A$6:$A$40,0)),INDEX('Bonds calculation'!$G$6:$G$40,MATCH(B269,'Bonds calculation'!$A$6:$A$40,0)),0)</f>
        <v/>
      </c>
    </row>
    <row r="270">
      <c r="A270" s="6" t="inlineStr">
        <is>
          <t>2018-01</t>
        </is>
      </c>
      <c r="B270" s="6" t="n">
        <v>2018</v>
      </c>
      <c r="C270" s="27" t="n">
        <v>11027.7</v>
      </c>
      <c r="D270" s="30" t="inlineStr">
        <is>
          <t>2018-01-31</t>
        </is>
      </c>
      <c r="E270" s="27" t="n">
        <v>30207</v>
      </c>
      <c r="F270" s="30" t="inlineStr">
        <is>
          <t>2018-01-31</t>
        </is>
      </c>
      <c r="G270" s="22">
        <f>E270/10*$P$1</f>
        <v/>
      </c>
      <c r="H270" s="26" t="n">
        <v>3.94</v>
      </c>
      <c r="I270" s="16">
        <f>IF(1=INDEX('Bonds calculation'!$L$6:$L$40,MATCH(B270,'Bonds calculation'!$A$6:$A$40,0)),INDEX('Bonds calculation'!$G$6:$G$40,MATCH(B270,'Bonds calculation'!$A$6:$A$40,0)),0)</f>
        <v/>
      </c>
    </row>
    <row r="271">
      <c r="A271" s="6" t="inlineStr">
        <is>
          <t>2018-02</t>
        </is>
      </c>
      <c r="B271" s="6" t="n">
        <v>2018</v>
      </c>
      <c r="C271" s="27" t="n">
        <v>10492.85</v>
      </c>
      <c r="D271" s="30" t="inlineStr">
        <is>
          <t>2018-02-28</t>
        </is>
      </c>
      <c r="E271" s="27" t="n">
        <v>30398</v>
      </c>
      <c r="F271" s="30" t="inlineStr">
        <is>
          <t>2018-02-28</t>
        </is>
      </c>
      <c r="G271" s="22">
        <f>E271/10*$P$1</f>
        <v/>
      </c>
      <c r="H271" s="26" t="n">
        <v>3.94</v>
      </c>
      <c r="I271" s="16">
        <f>IF(2=INDEX('Bonds calculation'!$L$6:$L$40,MATCH(B271,'Bonds calculation'!$A$6:$A$40,0)),INDEX('Bonds calculation'!$G$6:$G$40,MATCH(B271,'Bonds calculation'!$A$6:$A$40,0)),0)</f>
        <v/>
      </c>
    </row>
    <row r="272">
      <c r="A272" s="6" t="inlineStr">
        <is>
          <t>2018-03</t>
        </is>
      </c>
      <c r="B272" s="6" t="n">
        <v>2018</v>
      </c>
      <c r="C272" s="27" t="n">
        <v>10113.7</v>
      </c>
      <c r="D272" s="30" t="inlineStr">
        <is>
          <t>2018-03-28</t>
        </is>
      </c>
      <c r="E272" s="27" t="n">
        <v>30630</v>
      </c>
      <c r="F272" s="30" t="inlineStr">
        <is>
          <t>2018-03-28</t>
        </is>
      </c>
      <c r="G272" s="22">
        <f>E272/10*$P$1</f>
        <v/>
      </c>
      <c r="H272" s="26" t="n">
        <v>3.94</v>
      </c>
      <c r="I272" s="16">
        <f>IF(3=INDEX('Bonds calculation'!$L$6:$L$40,MATCH(B272,'Bonds calculation'!$A$6:$A$40,0)),INDEX('Bonds calculation'!$G$6:$G$40,MATCH(B272,'Bonds calculation'!$A$6:$A$40,0)),0)</f>
        <v/>
      </c>
    </row>
    <row r="273">
      <c r="A273" s="6" t="inlineStr">
        <is>
          <t>2018-04</t>
        </is>
      </c>
      <c r="B273" s="6" t="n">
        <v>2018</v>
      </c>
      <c r="C273" s="27" t="n">
        <v>10739.35</v>
      </c>
      <c r="D273" s="30" t="inlineStr">
        <is>
          <t>2018-04-30</t>
        </is>
      </c>
      <c r="E273" s="27" t="n">
        <v>31033</v>
      </c>
      <c r="F273" s="30" t="inlineStr">
        <is>
          <t>2018-04-30</t>
        </is>
      </c>
      <c r="G273" s="22">
        <f>E273/10*$P$1</f>
        <v/>
      </c>
      <c r="H273" s="26" t="n">
        <v>3.94</v>
      </c>
      <c r="I273" s="16">
        <f>IF(4=INDEX('Bonds calculation'!$L$6:$L$40,MATCH(B273,'Bonds calculation'!$A$6:$A$40,0)),INDEX('Bonds calculation'!$G$6:$G$40,MATCH(B273,'Bonds calculation'!$A$6:$A$40,0)),0)</f>
        <v/>
      </c>
    </row>
    <row r="274">
      <c r="A274" s="6" t="inlineStr">
        <is>
          <t>2018-05</t>
        </is>
      </c>
      <c r="B274" s="6" t="n">
        <v>2018</v>
      </c>
      <c r="C274" s="27" t="n">
        <v>10736.15</v>
      </c>
      <c r="D274" s="30" t="inlineStr">
        <is>
          <t>2018-05-31</t>
        </is>
      </c>
      <c r="E274" s="27" t="n">
        <v>31026</v>
      </c>
      <c r="F274" s="30" t="inlineStr">
        <is>
          <t>2018-05-31</t>
        </is>
      </c>
      <c r="G274" s="22">
        <f>E274/10*$P$1</f>
        <v/>
      </c>
      <c r="H274" s="26" t="n">
        <v>3.94</v>
      </c>
      <c r="I274" s="16">
        <f>IF(5=INDEX('Bonds calculation'!$L$6:$L$40,MATCH(B274,'Bonds calculation'!$A$6:$A$40,0)),INDEX('Bonds calculation'!$G$6:$G$40,MATCH(B274,'Bonds calculation'!$A$6:$A$40,0)),0)</f>
        <v/>
      </c>
    </row>
    <row r="275">
      <c r="A275" s="6" t="inlineStr">
        <is>
          <t>2018-06</t>
        </is>
      </c>
      <c r="B275" s="6" t="n">
        <v>2018</v>
      </c>
      <c r="C275" s="27" t="n">
        <v>10714.3</v>
      </c>
      <c r="D275" s="30" t="inlineStr">
        <is>
          <t>2018-06-29</t>
        </is>
      </c>
      <c r="E275" s="27" t="n">
        <v>30341</v>
      </c>
      <c r="F275" s="30" t="inlineStr">
        <is>
          <t>2018-06-29</t>
        </is>
      </c>
      <c r="G275" s="22">
        <f>E275/10*$P$1</f>
        <v/>
      </c>
      <c r="H275" s="26" t="n">
        <v>3.94</v>
      </c>
      <c r="I275" s="16">
        <f>IF(6=INDEX('Bonds calculation'!$L$6:$L$40,MATCH(B275,'Bonds calculation'!$A$6:$A$40,0)),INDEX('Bonds calculation'!$G$6:$G$40,MATCH(B275,'Bonds calculation'!$A$6:$A$40,0)),0)</f>
        <v/>
      </c>
    </row>
    <row r="276">
      <c r="A276" s="6" t="inlineStr">
        <is>
          <t>2018-07</t>
        </is>
      </c>
      <c r="B276" s="6" t="n">
        <v>2018</v>
      </c>
      <c r="C276" s="27" t="n">
        <v>11356.5</v>
      </c>
      <c r="D276" s="30" t="inlineStr">
        <is>
          <t>2018-07-31</t>
        </is>
      </c>
      <c r="E276" s="27" t="n">
        <v>29660</v>
      </c>
      <c r="F276" s="30" t="inlineStr">
        <is>
          <t>2018-07-31</t>
        </is>
      </c>
      <c r="G276" s="22">
        <f>E276/10*$P$1</f>
        <v/>
      </c>
      <c r="H276" s="26" t="n">
        <v>3.94</v>
      </c>
      <c r="I276" s="16">
        <f>IF(7=INDEX('Bonds calculation'!$L$6:$L$40,MATCH(B276,'Bonds calculation'!$A$6:$A$40,0)),INDEX('Bonds calculation'!$G$6:$G$40,MATCH(B276,'Bonds calculation'!$A$6:$A$40,0)),0)</f>
        <v/>
      </c>
    </row>
    <row r="277">
      <c r="A277" s="6" t="inlineStr">
        <is>
          <t>2018-08</t>
        </is>
      </c>
      <c r="B277" s="6" t="n">
        <v>2018</v>
      </c>
      <c r="C277" s="27" t="n">
        <v>11680.5</v>
      </c>
      <c r="D277" s="30" t="inlineStr">
        <is>
          <t>2018-08-31</t>
        </is>
      </c>
      <c r="E277" s="27" t="n">
        <v>30226</v>
      </c>
      <c r="F277" s="30" t="inlineStr">
        <is>
          <t>2018-08-31</t>
        </is>
      </c>
      <c r="G277" s="22">
        <f>E277/10*$P$1</f>
        <v/>
      </c>
      <c r="H277" s="26" t="n">
        <v>3.94</v>
      </c>
      <c r="I277" s="16">
        <f>IF(8=INDEX('Bonds calculation'!$L$6:$L$40,MATCH(B277,'Bonds calculation'!$A$6:$A$40,0)),INDEX('Bonds calculation'!$G$6:$G$40,MATCH(B277,'Bonds calculation'!$A$6:$A$40,0)),0)</f>
        <v/>
      </c>
    </row>
    <row r="278">
      <c r="A278" s="6" t="inlineStr">
        <is>
          <t>2018-09</t>
        </is>
      </c>
      <c r="B278" s="6" t="n">
        <v>2018</v>
      </c>
      <c r="C278" s="27" t="n">
        <v>10930.45</v>
      </c>
      <c r="D278" s="30" t="inlineStr">
        <is>
          <t>2018-09-28</t>
        </is>
      </c>
      <c r="E278" s="27" t="n">
        <v>30296</v>
      </c>
      <c r="F278" s="30" t="inlineStr">
        <is>
          <t>2018-09-28</t>
        </is>
      </c>
      <c r="G278" s="22">
        <f>E278/10*$P$1</f>
        <v/>
      </c>
      <c r="H278" s="26" t="n">
        <v>3.94</v>
      </c>
      <c r="I278" s="16">
        <f>IF(9=INDEX('Bonds calculation'!$L$6:$L$40,MATCH(B278,'Bonds calculation'!$A$6:$A$40,0)),INDEX('Bonds calculation'!$G$6:$G$40,MATCH(B278,'Bonds calculation'!$A$6:$A$40,0)),0)</f>
        <v/>
      </c>
    </row>
    <row r="279">
      <c r="A279" s="6" t="inlineStr">
        <is>
          <t>2018-10</t>
        </is>
      </c>
      <c r="B279" s="6" t="n">
        <v>2018</v>
      </c>
      <c r="C279" s="27" t="n">
        <v>10386.6</v>
      </c>
      <c r="D279" s="30" t="inlineStr">
        <is>
          <t>2018-10-31</t>
        </is>
      </c>
      <c r="E279" s="27" t="n">
        <v>31698</v>
      </c>
      <c r="F279" s="30" t="inlineStr">
        <is>
          <t>2018-10-31</t>
        </is>
      </c>
      <c r="G279" s="22">
        <f>E279/10*$P$1</f>
        <v/>
      </c>
      <c r="H279" s="26" t="n">
        <v>3.94</v>
      </c>
      <c r="I279" s="16">
        <f>IF(10=INDEX('Bonds calculation'!$L$6:$L$40,MATCH(B279,'Bonds calculation'!$A$6:$A$40,0)),INDEX('Bonds calculation'!$G$6:$G$40,MATCH(B279,'Bonds calculation'!$A$6:$A$40,0)),0)</f>
        <v/>
      </c>
    </row>
    <row r="280">
      <c r="A280" s="6" t="inlineStr">
        <is>
          <t>2018-11</t>
        </is>
      </c>
      <c r="B280" s="6" t="n">
        <v>2018</v>
      </c>
      <c r="C280" s="27" t="n">
        <v>10876.75</v>
      </c>
      <c r="D280" s="30" t="inlineStr">
        <is>
          <t>2018-11-30</t>
        </is>
      </c>
      <c r="E280" s="27" t="n">
        <v>30240</v>
      </c>
      <c r="F280" s="30" t="inlineStr">
        <is>
          <t>2018-11-30</t>
        </is>
      </c>
      <c r="G280" s="22">
        <f>E280/10*$P$1</f>
        <v/>
      </c>
      <c r="H280" s="26" t="n">
        <v>3.94</v>
      </c>
      <c r="I280" s="16">
        <f>IF(11=INDEX('Bonds calculation'!$L$6:$L$40,MATCH(B280,'Bonds calculation'!$A$6:$A$40,0)),INDEX('Bonds calculation'!$G$6:$G$40,MATCH(B280,'Bonds calculation'!$A$6:$A$40,0)),0)</f>
        <v/>
      </c>
    </row>
    <row r="281">
      <c r="A281" s="6" t="inlineStr">
        <is>
          <t>2018-12</t>
        </is>
      </c>
      <c r="B281" s="6" t="n">
        <v>2018</v>
      </c>
      <c r="C281" s="27" t="n">
        <v>10862.55</v>
      </c>
      <c r="D281" s="30" t="inlineStr">
        <is>
          <t>2018-12-31</t>
        </is>
      </c>
      <c r="E281" s="27" t="n">
        <v>31566</v>
      </c>
      <c r="F281" s="30" t="inlineStr">
        <is>
          <t>2018-12-31</t>
        </is>
      </c>
      <c r="G281" s="22">
        <f>E281/10*$P$1</f>
        <v/>
      </c>
      <c r="H281" s="26" t="n">
        <v>3.94</v>
      </c>
      <c r="I281" s="16">
        <f>IF(12=INDEX('Bonds calculation'!$L$6:$L$40,MATCH(B281,'Bonds calculation'!$A$6:$A$40,0)),INDEX('Bonds calculation'!$G$6:$G$40,MATCH(B281,'Bonds calculation'!$A$6:$A$40,0)),0)</f>
        <v/>
      </c>
    </row>
    <row r="282">
      <c r="A282" s="6" t="inlineStr">
        <is>
          <t>2019-01</t>
        </is>
      </c>
      <c r="B282" s="6" t="n">
        <v>2019</v>
      </c>
      <c r="C282" s="27" t="n">
        <v>10830.95</v>
      </c>
      <c r="D282" s="30" t="inlineStr">
        <is>
          <t>2019-01-31</t>
        </is>
      </c>
      <c r="E282" s="27" t="n">
        <v>33209</v>
      </c>
      <c r="F282" s="30" t="inlineStr">
        <is>
          <t>2019-01-31</t>
        </is>
      </c>
      <c r="G282" s="22">
        <f>E282/10*$P$1</f>
        <v/>
      </c>
      <c r="H282" s="26" t="n">
        <v>3.73</v>
      </c>
      <c r="I282" s="16">
        <f>IF(1=INDEX('Bonds calculation'!$L$6:$L$40,MATCH(B282,'Bonds calculation'!$A$6:$A$40,0)),INDEX('Bonds calculation'!$G$6:$G$40,MATCH(B282,'Bonds calculation'!$A$6:$A$40,0)),0)</f>
        <v/>
      </c>
    </row>
    <row r="283">
      <c r="A283" s="6" t="inlineStr">
        <is>
          <t>2019-02</t>
        </is>
      </c>
      <c r="B283" s="6" t="n">
        <v>2019</v>
      </c>
      <c r="C283" s="27" t="n">
        <v>10792.5</v>
      </c>
      <c r="D283" s="30" t="inlineStr">
        <is>
          <t>2019-02-28</t>
        </is>
      </c>
      <c r="E283" s="27" t="n">
        <v>33250</v>
      </c>
      <c r="F283" s="30" t="inlineStr">
        <is>
          <t>2019-02-28</t>
        </is>
      </c>
      <c r="G283" s="22">
        <f>E283/10*$P$1</f>
        <v/>
      </c>
      <c r="H283" s="26" t="n">
        <v>3.73</v>
      </c>
      <c r="I283" s="16">
        <f>IF(2=INDEX('Bonds calculation'!$L$6:$L$40,MATCH(B283,'Bonds calculation'!$A$6:$A$40,0)),INDEX('Bonds calculation'!$G$6:$G$40,MATCH(B283,'Bonds calculation'!$A$6:$A$40,0)),0)</f>
        <v/>
      </c>
    </row>
    <row r="284">
      <c r="A284" s="6" t="inlineStr">
        <is>
          <t>2019-03</t>
        </is>
      </c>
      <c r="B284" s="6" t="n">
        <v>2019</v>
      </c>
      <c r="C284" s="27" t="n">
        <v>11623.9</v>
      </c>
      <c r="D284" s="30" t="inlineStr">
        <is>
          <t>2019-03-29</t>
        </is>
      </c>
      <c r="E284" s="27" t="n">
        <v>31601</v>
      </c>
      <c r="F284" s="30" t="inlineStr">
        <is>
          <t>2019-03-29</t>
        </is>
      </c>
      <c r="G284" s="22">
        <f>E284/10*$P$1</f>
        <v/>
      </c>
      <c r="H284" s="26" t="n">
        <v>3.73</v>
      </c>
      <c r="I284" s="16">
        <f>IF(3=INDEX('Bonds calculation'!$L$6:$L$40,MATCH(B284,'Bonds calculation'!$A$6:$A$40,0)),INDEX('Bonds calculation'!$G$6:$G$40,MATCH(B284,'Bonds calculation'!$A$6:$A$40,0)),0)</f>
        <v/>
      </c>
    </row>
    <row r="285">
      <c r="A285" s="6" t="inlineStr">
        <is>
          <t>2019-04</t>
        </is>
      </c>
      <c r="B285" s="6" t="n">
        <v>2019</v>
      </c>
      <c r="C285" s="27" t="n">
        <v>11748.15</v>
      </c>
      <c r="D285" s="30" t="inlineStr">
        <is>
          <t>2019-04-30</t>
        </is>
      </c>
      <c r="E285" s="27" t="n">
        <v>31723</v>
      </c>
      <c r="F285" s="30" t="inlineStr">
        <is>
          <t>2019-04-30</t>
        </is>
      </c>
      <c r="G285" s="22">
        <f>E285/10*$P$1</f>
        <v/>
      </c>
      <c r="H285" s="26" t="n">
        <v>3.73</v>
      </c>
      <c r="I285" s="16">
        <f>IF(4=INDEX('Bonds calculation'!$L$6:$L$40,MATCH(B285,'Bonds calculation'!$A$6:$A$40,0)),INDEX('Bonds calculation'!$G$6:$G$40,MATCH(B285,'Bonds calculation'!$A$6:$A$40,0)),0)</f>
        <v/>
      </c>
    </row>
    <row r="286">
      <c r="A286" s="6" t="inlineStr">
        <is>
          <t>2019-05</t>
        </is>
      </c>
      <c r="B286" s="6" t="n">
        <v>2019</v>
      </c>
      <c r="C286" s="27" t="n">
        <v>11922.8</v>
      </c>
      <c r="D286" s="30" t="inlineStr">
        <is>
          <t>2019-05-31</t>
        </is>
      </c>
      <c r="E286" s="27" t="n">
        <v>32056</v>
      </c>
      <c r="F286" s="30" t="inlineStr">
        <is>
          <t>2019-05-31</t>
        </is>
      </c>
      <c r="G286" s="22">
        <f>E286/10*$P$1</f>
        <v/>
      </c>
      <c r="H286" s="26" t="n">
        <v>3.73</v>
      </c>
      <c r="I286" s="16">
        <f>IF(5=INDEX('Bonds calculation'!$L$6:$L$40,MATCH(B286,'Bonds calculation'!$A$6:$A$40,0)),INDEX('Bonds calculation'!$G$6:$G$40,MATCH(B286,'Bonds calculation'!$A$6:$A$40,0)),0)</f>
        <v/>
      </c>
    </row>
    <row r="287">
      <c r="A287" s="6" t="inlineStr">
        <is>
          <t>2019-06</t>
        </is>
      </c>
      <c r="B287" s="6" t="n">
        <v>2019</v>
      </c>
      <c r="C287" s="27" t="n">
        <v>11788.85</v>
      </c>
      <c r="D287" s="30" t="inlineStr">
        <is>
          <t>2019-06-28</t>
        </is>
      </c>
      <c r="E287" s="27" t="n">
        <v>34006</v>
      </c>
      <c r="F287" s="30" t="inlineStr">
        <is>
          <t>2019-06-28</t>
        </is>
      </c>
      <c r="G287" s="22">
        <f>E287/10*$P$1</f>
        <v/>
      </c>
      <c r="H287" s="26" t="n">
        <v>3.73</v>
      </c>
      <c r="I287" s="16">
        <f>IF(6=INDEX('Bonds calculation'!$L$6:$L$40,MATCH(B287,'Bonds calculation'!$A$6:$A$40,0)),INDEX('Bonds calculation'!$G$6:$G$40,MATCH(B287,'Bonds calculation'!$A$6:$A$40,0)),0)</f>
        <v/>
      </c>
    </row>
    <row r="288">
      <c r="A288" s="6" t="inlineStr">
        <is>
          <t>2019-07</t>
        </is>
      </c>
      <c r="B288" s="6" t="n">
        <v>2019</v>
      </c>
      <c r="C288" s="27" t="n">
        <v>11118</v>
      </c>
      <c r="D288" s="30" t="inlineStr">
        <is>
          <t>2019-07-31</t>
        </is>
      </c>
      <c r="E288" s="27" t="n">
        <v>34805</v>
      </c>
      <c r="F288" s="30" t="inlineStr">
        <is>
          <t>2019-07-31</t>
        </is>
      </c>
      <c r="G288" s="22">
        <f>E288/10*$P$1</f>
        <v/>
      </c>
      <c r="H288" s="26" t="n">
        <v>3.73</v>
      </c>
      <c r="I288" s="16">
        <f>IF(7=INDEX('Bonds calculation'!$L$6:$L$40,MATCH(B288,'Bonds calculation'!$A$6:$A$40,0)),INDEX('Bonds calculation'!$G$6:$G$40,MATCH(B288,'Bonds calculation'!$A$6:$A$40,0)),0)</f>
        <v/>
      </c>
    </row>
    <row r="289">
      <c r="A289" s="6" t="inlineStr">
        <is>
          <t>2019-08</t>
        </is>
      </c>
      <c r="B289" s="6" t="n">
        <v>2019</v>
      </c>
      <c r="C289" s="27" t="n">
        <v>11023.25</v>
      </c>
      <c r="D289" s="30" t="inlineStr">
        <is>
          <t>2019-08-30</t>
        </is>
      </c>
      <c r="E289" s="27" t="n">
        <v>38405</v>
      </c>
      <c r="F289" s="30" t="inlineStr">
        <is>
          <t>2019-08-30</t>
        </is>
      </c>
      <c r="G289" s="22">
        <f>E289/10*$P$1</f>
        <v/>
      </c>
      <c r="H289" s="26" t="n">
        <v>3.73</v>
      </c>
      <c r="I289" s="16">
        <f>IF(8=INDEX('Bonds calculation'!$L$6:$L$40,MATCH(B289,'Bonds calculation'!$A$6:$A$40,0)),INDEX('Bonds calculation'!$G$6:$G$40,MATCH(B289,'Bonds calculation'!$A$6:$A$40,0)),0)</f>
        <v/>
      </c>
    </row>
    <row r="290">
      <c r="A290" s="6" t="inlineStr">
        <is>
          <t>2019-09</t>
        </is>
      </c>
      <c r="B290" s="6" t="n">
        <v>2019</v>
      </c>
      <c r="C290" s="27" t="n">
        <v>11474.45</v>
      </c>
      <c r="D290" s="30" t="inlineStr">
        <is>
          <t>2019-09-30</t>
        </is>
      </c>
      <c r="E290" s="27" t="n">
        <v>37475</v>
      </c>
      <c r="F290" s="30" t="inlineStr">
        <is>
          <t>2019-09-30</t>
        </is>
      </c>
      <c r="G290" s="22">
        <f>E290/10*$P$1</f>
        <v/>
      </c>
      <c r="H290" s="26" t="n">
        <v>3.73</v>
      </c>
      <c r="I290" s="16">
        <f>IF(9=INDEX('Bonds calculation'!$L$6:$L$40,MATCH(B290,'Bonds calculation'!$A$6:$A$40,0)),INDEX('Bonds calculation'!$G$6:$G$40,MATCH(B290,'Bonds calculation'!$A$6:$A$40,0)),0)</f>
        <v/>
      </c>
    </row>
    <row r="291">
      <c r="A291" s="6" t="inlineStr">
        <is>
          <t>2019-10</t>
        </is>
      </c>
      <c r="B291" s="6" t="n">
        <v>2019</v>
      </c>
      <c r="C291" s="27" t="n">
        <v>11877.45</v>
      </c>
      <c r="D291" s="30" t="inlineStr">
        <is>
          <t>2019-10-31</t>
        </is>
      </c>
      <c r="E291" s="27" t="n">
        <v>38650</v>
      </c>
      <c r="F291" s="30" t="inlineStr">
        <is>
          <t>2019-10-31</t>
        </is>
      </c>
      <c r="G291" s="22">
        <f>E291/10*$P$1</f>
        <v/>
      </c>
      <c r="H291" s="26" t="n">
        <v>3.73</v>
      </c>
      <c r="I291" s="16">
        <f>IF(10=INDEX('Bonds calculation'!$L$6:$L$40,MATCH(B291,'Bonds calculation'!$A$6:$A$40,0)),INDEX('Bonds calculation'!$G$6:$G$40,MATCH(B291,'Bonds calculation'!$A$6:$A$40,0)),0)</f>
        <v/>
      </c>
    </row>
    <row r="292">
      <c r="A292" s="6" t="inlineStr">
        <is>
          <t>2019-11</t>
        </is>
      </c>
      <c r="B292" s="6" t="n">
        <v>2019</v>
      </c>
      <c r="C292" s="27" t="n">
        <v>12056.05</v>
      </c>
      <c r="D292" s="30" t="inlineStr">
        <is>
          <t>2019-11-29</t>
        </is>
      </c>
      <c r="E292" s="27" t="n">
        <v>37876</v>
      </c>
      <c r="F292" s="30" t="inlineStr">
        <is>
          <t>2019-11-29</t>
        </is>
      </c>
      <c r="G292" s="22">
        <f>E292/10*$P$1</f>
        <v/>
      </c>
      <c r="H292" s="26" t="n">
        <v>3.73</v>
      </c>
      <c r="I292" s="16">
        <f>IF(11=INDEX('Bonds calculation'!$L$6:$L$40,MATCH(B292,'Bonds calculation'!$A$6:$A$40,0)),INDEX('Bonds calculation'!$G$6:$G$40,MATCH(B292,'Bonds calculation'!$A$6:$A$40,0)),0)</f>
        <v/>
      </c>
    </row>
    <row r="293">
      <c r="A293" s="6" t="inlineStr">
        <is>
          <t>2019-12</t>
        </is>
      </c>
      <c r="B293" s="6" t="n">
        <v>2019</v>
      </c>
      <c r="C293" s="27" t="n">
        <v>12168.45</v>
      </c>
      <c r="D293" s="30" t="inlineStr">
        <is>
          <t>2019-12-31</t>
        </is>
      </c>
      <c r="E293" s="27" t="n">
        <v>39076</v>
      </c>
      <c r="F293" s="30" t="inlineStr">
        <is>
          <t>2019-12-31</t>
        </is>
      </c>
      <c r="G293" s="22">
        <f>E293/10*$P$1</f>
        <v/>
      </c>
      <c r="H293" s="26" t="n">
        <v>3.73</v>
      </c>
      <c r="I293" s="16">
        <f>IF(12=INDEX('Bonds calculation'!$L$6:$L$40,MATCH(B293,'Bonds calculation'!$A$6:$A$40,0)),INDEX('Bonds calculation'!$G$6:$G$40,MATCH(B293,'Bonds calculation'!$A$6:$A$40,0)),0)</f>
        <v/>
      </c>
    </row>
    <row r="294">
      <c r="A294" s="6" t="inlineStr">
        <is>
          <t>2020-01</t>
        </is>
      </c>
      <c r="B294" s="6" t="n">
        <v>2020</v>
      </c>
      <c r="C294" s="27" t="n">
        <v>11962.1</v>
      </c>
      <c r="D294" s="30" t="inlineStr">
        <is>
          <t>2020-01-31</t>
        </is>
      </c>
      <c r="E294" s="27" t="n">
        <v>40694</v>
      </c>
      <c r="F294" s="30" t="inlineStr">
        <is>
          <t>2020-01-31</t>
        </is>
      </c>
      <c r="G294" s="22">
        <f>E294/10*$P$1</f>
        <v/>
      </c>
      <c r="H294" s="26" t="n">
        <v>6.62</v>
      </c>
      <c r="I294" s="16">
        <f>IF(1=INDEX('Bonds calculation'!$L$6:$L$40,MATCH(B294,'Bonds calculation'!$A$6:$A$40,0)),INDEX('Bonds calculation'!$G$6:$G$40,MATCH(B294,'Bonds calculation'!$A$6:$A$40,0)),0)</f>
        <v/>
      </c>
    </row>
    <row r="295">
      <c r="A295" s="6" t="inlineStr">
        <is>
          <t>2020-02</t>
        </is>
      </c>
      <c r="B295" s="6" t="n">
        <v>2020</v>
      </c>
      <c r="C295" s="27" t="n">
        <v>11201.75</v>
      </c>
      <c r="D295" s="30" t="inlineStr">
        <is>
          <t>2020-02-28</t>
        </is>
      </c>
      <c r="E295" s="27" t="n">
        <v>42352</v>
      </c>
      <c r="F295" s="30" t="inlineStr">
        <is>
          <t>2020-02-28</t>
        </is>
      </c>
      <c r="G295" s="22">
        <f>E295/10*$P$1</f>
        <v/>
      </c>
      <c r="H295" s="26" t="n">
        <v>6.62</v>
      </c>
      <c r="I295" s="16">
        <f>IF(2=INDEX('Bonds calculation'!$L$6:$L$40,MATCH(B295,'Bonds calculation'!$A$6:$A$40,0)),INDEX('Bonds calculation'!$G$6:$G$40,MATCH(B295,'Bonds calculation'!$A$6:$A$40,0)),0)</f>
        <v/>
      </c>
    </row>
    <row r="296">
      <c r="A296" s="6" t="inlineStr">
        <is>
          <t>2020-03</t>
        </is>
      </c>
      <c r="B296" s="6" t="n">
        <v>2020</v>
      </c>
      <c r="C296" s="27" t="n">
        <v>8597.75</v>
      </c>
      <c r="D296" s="30" t="inlineStr">
        <is>
          <t>2020-03-31</t>
        </is>
      </c>
      <c r="E296" s="27" t="n">
        <v>43409.86807566943</v>
      </c>
      <c r="F296" s="30" t="inlineStr">
        <is>
          <t>2020-03-31</t>
        </is>
      </c>
      <c r="G296" s="22">
        <f>E296/10*$P$1</f>
        <v/>
      </c>
      <c r="H296" s="26" t="n">
        <v>6.62</v>
      </c>
      <c r="I296" s="16">
        <f>IF(3=INDEX('Bonds calculation'!$L$6:$L$40,MATCH(B296,'Bonds calculation'!$A$6:$A$40,0)),INDEX('Bonds calculation'!$G$6:$G$40,MATCH(B296,'Bonds calculation'!$A$6:$A$40,0)),0)</f>
        <v/>
      </c>
      <c r="J296" s="6" t="inlineStr">
        <is>
          <t>Estimated: the API's MCX gold price is frozen at 40,989 (2020-03-20 to 2020-06-02). 43,410 = global GOLDINR close x the MCX premium interpolated between 2020-03-19 and 2020-06-03.</t>
        </is>
      </c>
    </row>
    <row r="297">
      <c r="A297" s="6" t="inlineStr">
        <is>
          <t>2020-04</t>
        </is>
      </c>
      <c r="B297" s="6" t="n">
        <v>2020</v>
      </c>
      <c r="C297" s="27" t="n">
        <v>9859.9</v>
      </c>
      <c r="D297" s="30" t="inlineStr">
        <is>
          <t>2020-04-30</t>
        </is>
      </c>
      <c r="E297" s="27" t="n">
        <v>46292.19732177088</v>
      </c>
      <c r="F297" s="30" t="inlineStr">
        <is>
          <t>2020-04-30</t>
        </is>
      </c>
      <c r="G297" s="22">
        <f>E297/10*$P$1</f>
        <v/>
      </c>
      <c r="H297" s="26" t="n">
        <v>6.62</v>
      </c>
      <c r="I297" s="16">
        <f>IF(4=INDEX('Bonds calculation'!$L$6:$L$40,MATCH(B297,'Bonds calculation'!$A$6:$A$40,0)),INDEX('Bonds calculation'!$G$6:$G$40,MATCH(B297,'Bonds calculation'!$A$6:$A$40,0)),0)</f>
        <v/>
      </c>
      <c r="J297" s="6" t="inlineStr">
        <is>
          <t>Estimated: the API's MCX gold price is frozen at 40,989 (2020-03-20 to 2020-06-02). 46,292 = global GOLDINR close x the MCX premium interpolated between 2020-03-19 and 2020-06-03.</t>
        </is>
      </c>
    </row>
    <row r="298">
      <c r="A298" s="6" t="inlineStr">
        <is>
          <t>2020-05</t>
        </is>
      </c>
      <c r="B298" s="6" t="n">
        <v>2020</v>
      </c>
      <c r="C298" s="27" t="n">
        <v>9580.299999999999</v>
      </c>
      <c r="D298" s="30" t="inlineStr">
        <is>
          <t>2020-05-29</t>
        </is>
      </c>
      <c r="E298" s="27" t="n">
        <v>48175.76637002693</v>
      </c>
      <c r="F298" s="30" t="inlineStr">
        <is>
          <t>2020-05-29</t>
        </is>
      </c>
      <c r="G298" s="22">
        <f>E298/10*$P$1</f>
        <v/>
      </c>
      <c r="H298" s="26" t="n">
        <v>6.62</v>
      </c>
      <c r="I298" s="16">
        <f>IF(5=INDEX('Bonds calculation'!$L$6:$L$40,MATCH(B298,'Bonds calculation'!$A$6:$A$40,0)),INDEX('Bonds calculation'!$G$6:$G$40,MATCH(B298,'Bonds calculation'!$A$6:$A$40,0)),0)</f>
        <v/>
      </c>
      <c r="J298" s="6" t="inlineStr">
        <is>
          <t>Estimated: the API's MCX gold price is frozen at 40,989 (2020-03-20 to 2020-06-02). 48,176 = global GOLDINR close x the MCX premium interpolated between 2020-03-19 and 2020-06-03.</t>
        </is>
      </c>
    </row>
    <row r="299">
      <c r="A299" s="6" t="inlineStr">
        <is>
          <t>2020-06</t>
        </is>
      </c>
      <c r="B299" s="6" t="n">
        <v>2020</v>
      </c>
      <c r="C299" s="27" t="n">
        <v>10302.1</v>
      </c>
      <c r="D299" s="30" t="inlineStr">
        <is>
          <t>2020-06-30</t>
        </is>
      </c>
      <c r="E299" s="27" t="n">
        <v>48304</v>
      </c>
      <c r="F299" s="30" t="inlineStr">
        <is>
          <t>2020-06-30</t>
        </is>
      </c>
      <c r="G299" s="22">
        <f>E299/10*$P$1</f>
        <v/>
      </c>
      <c r="H299" s="26" t="n">
        <v>6.62</v>
      </c>
      <c r="I299" s="16">
        <f>IF(6=INDEX('Bonds calculation'!$L$6:$L$40,MATCH(B299,'Bonds calculation'!$A$6:$A$40,0)),INDEX('Bonds calculation'!$G$6:$G$40,MATCH(B299,'Bonds calculation'!$A$6:$A$40,0)),0)</f>
        <v/>
      </c>
    </row>
    <row r="300">
      <c r="A300" s="6" t="inlineStr">
        <is>
          <t>2020-07</t>
        </is>
      </c>
      <c r="B300" s="6" t="n">
        <v>2020</v>
      </c>
      <c r="C300" s="27" t="n">
        <v>11073.45</v>
      </c>
      <c r="D300" s="30" t="inlineStr">
        <is>
          <t>2020-07-31</t>
        </is>
      </c>
      <c r="E300" s="27" t="n">
        <v>53615</v>
      </c>
      <c r="F300" s="30" t="inlineStr">
        <is>
          <t>2020-07-31</t>
        </is>
      </c>
      <c r="G300" s="22">
        <f>E300/10*$P$1</f>
        <v/>
      </c>
      <c r="H300" s="26" t="n">
        <v>6.62</v>
      </c>
      <c r="I300" s="16">
        <f>IF(7=INDEX('Bonds calculation'!$L$6:$L$40,MATCH(B300,'Bonds calculation'!$A$6:$A$40,0)),INDEX('Bonds calculation'!$G$6:$G$40,MATCH(B300,'Bonds calculation'!$A$6:$A$40,0)),0)</f>
        <v/>
      </c>
    </row>
    <row r="301">
      <c r="A301" s="6" t="inlineStr">
        <is>
          <t>2020-08</t>
        </is>
      </c>
      <c r="B301" s="6" t="n">
        <v>2020</v>
      </c>
      <c r="C301" s="27" t="n">
        <v>11387.5</v>
      </c>
      <c r="D301" s="30" t="inlineStr">
        <is>
          <t>2020-08-31</t>
        </is>
      </c>
      <c r="E301" s="27" t="n">
        <v>51246</v>
      </c>
      <c r="F301" s="30" t="inlineStr">
        <is>
          <t>2020-08-31</t>
        </is>
      </c>
      <c r="G301" s="22">
        <f>E301/10*$P$1</f>
        <v/>
      </c>
      <c r="H301" s="26" t="n">
        <v>6.62</v>
      </c>
      <c r="I301" s="16">
        <f>IF(8=INDEX('Bonds calculation'!$L$6:$L$40,MATCH(B301,'Bonds calculation'!$A$6:$A$40,0)),INDEX('Bonds calculation'!$G$6:$G$40,MATCH(B301,'Bonds calculation'!$A$6:$A$40,0)),0)</f>
        <v/>
      </c>
    </row>
    <row r="302">
      <c r="A302" s="6" t="inlineStr">
        <is>
          <t>2020-09</t>
        </is>
      </c>
      <c r="B302" s="6" t="n">
        <v>2020</v>
      </c>
      <c r="C302" s="27" t="n">
        <v>11247.55</v>
      </c>
      <c r="D302" s="30" t="inlineStr">
        <is>
          <t>2020-09-30</t>
        </is>
      </c>
      <c r="E302" s="27" t="n">
        <v>50325</v>
      </c>
      <c r="F302" s="30" t="inlineStr">
        <is>
          <t>2020-09-30</t>
        </is>
      </c>
      <c r="G302" s="22">
        <f>E302/10*$P$1</f>
        <v/>
      </c>
      <c r="H302" s="26" t="n">
        <v>6.62</v>
      </c>
      <c r="I302" s="16">
        <f>IF(9=INDEX('Bonds calculation'!$L$6:$L$40,MATCH(B302,'Bonds calculation'!$A$6:$A$40,0)),INDEX('Bonds calculation'!$G$6:$G$40,MATCH(B302,'Bonds calculation'!$A$6:$A$40,0)),0)</f>
        <v/>
      </c>
    </row>
    <row r="303">
      <c r="A303" s="6" t="inlineStr">
        <is>
          <t>2020-10</t>
        </is>
      </c>
      <c r="B303" s="6" t="n">
        <v>2020</v>
      </c>
      <c r="C303" s="27" t="n">
        <v>11642.4</v>
      </c>
      <c r="D303" s="30" t="inlineStr">
        <is>
          <t>2020-10-30</t>
        </is>
      </c>
      <c r="E303" s="27" t="n">
        <v>50645</v>
      </c>
      <c r="F303" s="30" t="inlineStr">
        <is>
          <t>2020-10-30</t>
        </is>
      </c>
      <c r="G303" s="22">
        <f>E303/10*$P$1</f>
        <v/>
      </c>
      <c r="H303" s="26" t="n">
        <v>6.62</v>
      </c>
      <c r="I303" s="16">
        <f>IF(10=INDEX('Bonds calculation'!$L$6:$L$40,MATCH(B303,'Bonds calculation'!$A$6:$A$40,0)),INDEX('Bonds calculation'!$G$6:$G$40,MATCH(B303,'Bonds calculation'!$A$6:$A$40,0)),0)</f>
        <v/>
      </c>
    </row>
    <row r="304">
      <c r="A304" s="6" t="inlineStr">
        <is>
          <t>2020-11</t>
        </is>
      </c>
      <c r="B304" s="6" t="n">
        <v>2020</v>
      </c>
      <c r="C304" s="27" t="n">
        <v>12968.95</v>
      </c>
      <c r="D304" s="30" t="inlineStr">
        <is>
          <t>2020-11-27</t>
        </is>
      </c>
      <c r="E304" s="27" t="n">
        <v>48778</v>
      </c>
      <c r="F304" s="30" t="inlineStr">
        <is>
          <t>2020-11-30</t>
        </is>
      </c>
      <c r="G304" s="22">
        <f>E304/10*$P$1</f>
        <v/>
      </c>
      <c r="H304" s="26" t="n">
        <v>6.62</v>
      </c>
      <c r="I304" s="16">
        <f>IF(11=INDEX('Bonds calculation'!$L$6:$L$40,MATCH(B304,'Bonds calculation'!$A$6:$A$40,0)),INDEX('Bonds calculation'!$G$6:$G$40,MATCH(B304,'Bonds calculation'!$A$6:$A$40,0)),0)</f>
        <v/>
      </c>
    </row>
    <row r="305">
      <c r="A305" s="6" t="inlineStr">
        <is>
          <t>2020-12</t>
        </is>
      </c>
      <c r="B305" s="6" t="n">
        <v>2020</v>
      </c>
      <c r="C305" s="27" t="n">
        <v>13981.75</v>
      </c>
      <c r="D305" s="30" t="inlineStr">
        <is>
          <t>2020-12-31</t>
        </is>
      </c>
      <c r="E305" s="27" t="n">
        <v>50005</v>
      </c>
      <c r="F305" s="30" t="inlineStr">
        <is>
          <t>2020-12-31</t>
        </is>
      </c>
      <c r="G305" s="22">
        <f>E305/10*$P$1</f>
        <v/>
      </c>
      <c r="H305" s="26" t="n">
        <v>6.62</v>
      </c>
      <c r="I305" s="16">
        <f>IF(12=INDEX('Bonds calculation'!$L$6:$L$40,MATCH(B305,'Bonds calculation'!$A$6:$A$40,0)),INDEX('Bonds calculation'!$G$6:$G$40,MATCH(B305,'Bonds calculation'!$A$6:$A$40,0)),0)</f>
        <v/>
      </c>
    </row>
    <row r="306">
      <c r="A306" s="6" t="inlineStr">
        <is>
          <t>2021-01</t>
        </is>
      </c>
      <c r="B306" s="6" t="n">
        <v>2021</v>
      </c>
      <c r="C306" s="27" t="n">
        <v>13634.6</v>
      </c>
      <c r="D306" s="30" t="inlineStr">
        <is>
          <t>2021-01-29</t>
        </is>
      </c>
      <c r="E306" s="27" t="n">
        <v>49205</v>
      </c>
      <c r="F306" s="30" t="inlineStr">
        <is>
          <t>2021-01-29</t>
        </is>
      </c>
      <c r="G306" s="22">
        <f>E306/10*$P$1</f>
        <v/>
      </c>
      <c r="H306" s="26" t="n">
        <v>5.13</v>
      </c>
      <c r="I306" s="16">
        <f>IF(1=INDEX('Bonds calculation'!$L$6:$L$40,MATCH(B306,'Bonds calculation'!$A$6:$A$40,0)),INDEX('Bonds calculation'!$G$6:$G$40,MATCH(B306,'Bonds calculation'!$A$6:$A$40,0)),0)</f>
        <v/>
      </c>
    </row>
    <row r="307">
      <c r="A307" s="6" t="inlineStr">
        <is>
          <t>2021-02</t>
        </is>
      </c>
      <c r="B307" s="6" t="n">
        <v>2021</v>
      </c>
      <c r="C307" s="27" t="n">
        <v>14529.15</v>
      </c>
      <c r="D307" s="30" t="inlineStr">
        <is>
          <t>2021-02-26</t>
        </is>
      </c>
      <c r="E307" s="27" t="n">
        <v>46425</v>
      </c>
      <c r="F307" s="30" t="inlineStr">
        <is>
          <t>2021-02-26</t>
        </is>
      </c>
      <c r="G307" s="22">
        <f>E307/10*$P$1</f>
        <v/>
      </c>
      <c r="H307" s="26" t="n">
        <v>5.13</v>
      </c>
      <c r="I307" s="16">
        <f>IF(2=INDEX('Bonds calculation'!$L$6:$L$40,MATCH(B307,'Bonds calculation'!$A$6:$A$40,0)),INDEX('Bonds calculation'!$G$6:$G$40,MATCH(B307,'Bonds calculation'!$A$6:$A$40,0)),0)</f>
        <v/>
      </c>
    </row>
    <row r="308">
      <c r="A308" s="6" t="inlineStr">
        <is>
          <t>2021-03</t>
        </is>
      </c>
      <c r="B308" s="6" t="n">
        <v>2021</v>
      </c>
      <c r="C308" s="27" t="n">
        <v>14690.7</v>
      </c>
      <c r="D308" s="30" t="inlineStr">
        <is>
          <t>2021-03-31</t>
        </is>
      </c>
      <c r="E308" s="27" t="n">
        <v>43994</v>
      </c>
      <c r="F308" s="30" t="inlineStr">
        <is>
          <t>2021-03-31</t>
        </is>
      </c>
      <c r="G308" s="22">
        <f>E308/10*$P$1</f>
        <v/>
      </c>
      <c r="H308" s="26" t="n">
        <v>5.13</v>
      </c>
      <c r="I308" s="16">
        <f>IF(3=INDEX('Bonds calculation'!$L$6:$L$40,MATCH(B308,'Bonds calculation'!$A$6:$A$40,0)),INDEX('Bonds calculation'!$G$6:$G$40,MATCH(B308,'Bonds calculation'!$A$6:$A$40,0)),0)</f>
        <v/>
      </c>
    </row>
    <row r="309">
      <c r="A309" s="6" t="inlineStr">
        <is>
          <t>2021-04</t>
        </is>
      </c>
      <c r="B309" s="6" t="n">
        <v>2021</v>
      </c>
      <c r="C309" s="27" t="n">
        <v>14631.1</v>
      </c>
      <c r="D309" s="30" t="inlineStr">
        <is>
          <t>2021-04-30</t>
        </is>
      </c>
      <c r="E309" s="27" t="n">
        <v>47569</v>
      </c>
      <c r="F309" s="30" t="inlineStr">
        <is>
          <t>2021-04-30</t>
        </is>
      </c>
      <c r="G309" s="22">
        <f>E309/10*$P$1</f>
        <v/>
      </c>
      <c r="H309" s="26" t="n">
        <v>5.13</v>
      </c>
      <c r="I309" s="16">
        <f>IF(4=INDEX('Bonds calculation'!$L$6:$L$40,MATCH(B309,'Bonds calculation'!$A$6:$A$40,0)),INDEX('Bonds calculation'!$G$6:$G$40,MATCH(B309,'Bonds calculation'!$A$6:$A$40,0)),0)</f>
        <v/>
      </c>
    </row>
    <row r="310">
      <c r="A310" s="6" t="inlineStr">
        <is>
          <t>2021-05</t>
        </is>
      </c>
      <c r="B310" s="6" t="n">
        <v>2021</v>
      </c>
      <c r="C310" s="27" t="n">
        <v>15582.8</v>
      </c>
      <c r="D310" s="30" t="inlineStr">
        <is>
          <t>2021-05-31</t>
        </is>
      </c>
      <c r="E310" s="27" t="n">
        <v>48933</v>
      </c>
      <c r="F310" s="30" t="inlineStr">
        <is>
          <t>2021-05-31</t>
        </is>
      </c>
      <c r="G310" s="22">
        <f>E310/10*$P$1</f>
        <v/>
      </c>
      <c r="H310" s="26" t="n">
        <v>5.13</v>
      </c>
      <c r="I310" s="16">
        <f>IF(5=INDEX('Bonds calculation'!$L$6:$L$40,MATCH(B310,'Bonds calculation'!$A$6:$A$40,0)),INDEX('Bonds calculation'!$G$6:$G$40,MATCH(B310,'Bonds calculation'!$A$6:$A$40,0)),0)</f>
        <v/>
      </c>
    </row>
    <row r="311">
      <c r="A311" s="6" t="inlineStr">
        <is>
          <t>2021-06</t>
        </is>
      </c>
      <c r="B311" s="6" t="n">
        <v>2021</v>
      </c>
      <c r="C311" s="27" t="n">
        <v>15721.5</v>
      </c>
      <c r="D311" s="30" t="inlineStr">
        <is>
          <t>2021-06-30</t>
        </is>
      </c>
      <c r="E311" s="27" t="n">
        <v>46504</v>
      </c>
      <c r="F311" s="30" t="inlineStr">
        <is>
          <t>2021-06-30</t>
        </is>
      </c>
      <c r="G311" s="22">
        <f>E311/10*$P$1</f>
        <v/>
      </c>
      <c r="H311" s="26" t="n">
        <v>5.13</v>
      </c>
      <c r="I311" s="16">
        <f>IF(6=INDEX('Bonds calculation'!$L$6:$L$40,MATCH(B311,'Bonds calculation'!$A$6:$A$40,0)),INDEX('Bonds calculation'!$G$6:$G$40,MATCH(B311,'Bonds calculation'!$A$6:$A$40,0)),0)</f>
        <v/>
      </c>
    </row>
    <row r="312">
      <c r="A312" s="6" t="inlineStr">
        <is>
          <t>2021-07</t>
        </is>
      </c>
      <c r="B312" s="6" t="n">
        <v>2021</v>
      </c>
      <c r="C312" s="27" t="n">
        <v>15763.05</v>
      </c>
      <c r="D312" s="30" t="inlineStr">
        <is>
          <t>2021-07-30</t>
        </is>
      </c>
      <c r="E312" s="27" t="n">
        <v>48250</v>
      </c>
      <c r="F312" s="30" t="inlineStr">
        <is>
          <t>2021-07-30</t>
        </is>
      </c>
      <c r="G312" s="22">
        <f>E312/10*$P$1</f>
        <v/>
      </c>
      <c r="H312" s="26" t="n">
        <v>5.13</v>
      </c>
      <c r="I312" s="16">
        <f>IF(7=INDEX('Bonds calculation'!$L$6:$L$40,MATCH(B312,'Bonds calculation'!$A$6:$A$40,0)),INDEX('Bonds calculation'!$G$6:$G$40,MATCH(B312,'Bonds calculation'!$A$6:$A$40,0)),0)</f>
        <v/>
      </c>
    </row>
    <row r="313">
      <c r="A313" s="6" t="inlineStr">
        <is>
          <t>2021-08</t>
        </is>
      </c>
      <c r="B313" s="6" t="n">
        <v>2021</v>
      </c>
      <c r="C313" s="27" t="n">
        <v>17132.2</v>
      </c>
      <c r="D313" s="30" t="inlineStr">
        <is>
          <t>2021-08-31</t>
        </is>
      </c>
      <c r="E313" s="27" t="n">
        <v>47106</v>
      </c>
      <c r="F313" s="30" t="inlineStr">
        <is>
          <t>2021-08-31</t>
        </is>
      </c>
      <c r="G313" s="22">
        <f>E313/10*$P$1</f>
        <v/>
      </c>
      <c r="H313" s="26" t="n">
        <v>5.13</v>
      </c>
      <c r="I313" s="16">
        <f>IF(8=INDEX('Bonds calculation'!$L$6:$L$40,MATCH(B313,'Bonds calculation'!$A$6:$A$40,0)),INDEX('Bonds calculation'!$G$6:$G$40,MATCH(B313,'Bonds calculation'!$A$6:$A$40,0)),0)</f>
        <v/>
      </c>
    </row>
    <row r="314">
      <c r="A314" s="6" t="inlineStr">
        <is>
          <t>2021-09</t>
        </is>
      </c>
      <c r="B314" s="6" t="n">
        <v>2021</v>
      </c>
      <c r="C314" s="27" t="n">
        <v>17618.15</v>
      </c>
      <c r="D314" s="30" t="inlineStr">
        <is>
          <t>2021-09-30</t>
        </is>
      </c>
      <c r="E314" s="27" t="n">
        <v>45624</v>
      </c>
      <c r="F314" s="30" t="inlineStr">
        <is>
          <t>2021-09-30</t>
        </is>
      </c>
      <c r="G314" s="22">
        <f>E314/10*$P$1</f>
        <v/>
      </c>
      <c r="H314" s="26" t="n">
        <v>5.13</v>
      </c>
      <c r="I314" s="16">
        <f>IF(9=INDEX('Bonds calculation'!$L$6:$L$40,MATCH(B314,'Bonds calculation'!$A$6:$A$40,0)),INDEX('Bonds calculation'!$G$6:$G$40,MATCH(B314,'Bonds calculation'!$A$6:$A$40,0)),0)</f>
        <v/>
      </c>
    </row>
    <row r="315">
      <c r="A315" s="6" t="inlineStr">
        <is>
          <t>2021-10</t>
        </is>
      </c>
      <c r="B315" s="6" t="n">
        <v>2021</v>
      </c>
      <c r="C315" s="27" t="n">
        <v>17671.65</v>
      </c>
      <c r="D315" s="30" t="inlineStr">
        <is>
          <t>2021-10-29</t>
        </is>
      </c>
      <c r="E315" s="27" t="n">
        <v>47794</v>
      </c>
      <c r="F315" s="30" t="inlineStr">
        <is>
          <t>2021-10-29</t>
        </is>
      </c>
      <c r="G315" s="22">
        <f>E315/10*$P$1</f>
        <v/>
      </c>
      <c r="H315" s="26" t="n">
        <v>5.13</v>
      </c>
      <c r="I315" s="16">
        <f>IF(10=INDEX('Bonds calculation'!$L$6:$L$40,MATCH(B315,'Bonds calculation'!$A$6:$A$40,0)),INDEX('Bonds calculation'!$G$6:$G$40,MATCH(B315,'Bonds calculation'!$A$6:$A$40,0)),0)</f>
        <v/>
      </c>
    </row>
    <row r="316">
      <c r="A316" s="6" t="inlineStr">
        <is>
          <t>2021-11</t>
        </is>
      </c>
      <c r="B316" s="6" t="n">
        <v>2021</v>
      </c>
      <c r="C316" s="27" t="n">
        <v>16983.2</v>
      </c>
      <c r="D316" s="30" t="inlineStr">
        <is>
          <t>2021-11-30</t>
        </is>
      </c>
      <c r="E316" s="27" t="n">
        <v>48031</v>
      </c>
      <c r="F316" s="30" t="inlineStr">
        <is>
          <t>2021-11-30</t>
        </is>
      </c>
      <c r="G316" s="22">
        <f>E316/10*$P$1</f>
        <v/>
      </c>
      <c r="H316" s="26" t="n">
        <v>5.13</v>
      </c>
      <c r="I316" s="16">
        <f>IF(11=INDEX('Bonds calculation'!$L$6:$L$40,MATCH(B316,'Bonds calculation'!$A$6:$A$40,0)),INDEX('Bonds calculation'!$G$6:$G$40,MATCH(B316,'Bonds calculation'!$A$6:$A$40,0)),0)</f>
        <v/>
      </c>
    </row>
    <row r="317">
      <c r="A317" s="6" t="inlineStr">
        <is>
          <t>2021-12</t>
        </is>
      </c>
      <c r="B317" s="6" t="n">
        <v>2021</v>
      </c>
      <c r="C317" s="27" t="n">
        <v>17354.05</v>
      </c>
      <c r="D317" s="30" t="inlineStr">
        <is>
          <t>2021-12-31</t>
        </is>
      </c>
      <c r="E317" s="27" t="n">
        <v>47899</v>
      </c>
      <c r="F317" s="30" t="inlineStr">
        <is>
          <t>2021-12-31</t>
        </is>
      </c>
      <c r="G317" s="22">
        <f>E317/10*$P$1</f>
        <v/>
      </c>
      <c r="H317" s="26" t="n">
        <v>5.13</v>
      </c>
      <c r="I317" s="16">
        <f>IF(12=INDEX('Bonds calculation'!$L$6:$L$40,MATCH(B317,'Bonds calculation'!$A$6:$A$40,0)),INDEX('Bonds calculation'!$G$6:$G$40,MATCH(B317,'Bonds calculation'!$A$6:$A$40,0)),0)</f>
        <v/>
      </c>
    </row>
    <row r="318">
      <c r="A318" s="6" t="inlineStr">
        <is>
          <t>2022-01</t>
        </is>
      </c>
      <c r="B318" s="6" t="n">
        <v>2022</v>
      </c>
      <c r="C318" s="27" t="n">
        <v>17339.85</v>
      </c>
      <c r="D318" s="30" t="inlineStr">
        <is>
          <t>2022-01-31</t>
        </is>
      </c>
      <c r="E318" s="27" t="n">
        <v>47706</v>
      </c>
      <c r="F318" s="30" t="inlineStr">
        <is>
          <t>2022-01-31</t>
        </is>
      </c>
      <c r="G318" s="22">
        <f>E318/10*$P$1</f>
        <v/>
      </c>
      <c r="H318" s="26" t="n">
        <v>6.7</v>
      </c>
      <c r="I318" s="16">
        <f>IF(1=INDEX('Bonds calculation'!$L$6:$L$40,MATCH(B318,'Bonds calculation'!$A$6:$A$40,0)),INDEX('Bonds calculation'!$G$6:$G$40,MATCH(B318,'Bonds calculation'!$A$6:$A$40,0)),0)</f>
        <v/>
      </c>
    </row>
    <row r="319">
      <c r="A319" s="6" t="inlineStr">
        <is>
          <t>2022-02</t>
        </is>
      </c>
      <c r="B319" s="6" t="n">
        <v>2022</v>
      </c>
      <c r="C319" s="27" t="n">
        <v>16793.9</v>
      </c>
      <c r="D319" s="30" t="inlineStr">
        <is>
          <t>2022-02-28</t>
        </is>
      </c>
      <c r="E319" s="27" t="n">
        <v>50479</v>
      </c>
      <c r="F319" s="30" t="inlineStr">
        <is>
          <t>2022-02-28</t>
        </is>
      </c>
      <c r="G319" s="22">
        <f>E319/10*$P$1</f>
        <v/>
      </c>
      <c r="H319" s="26" t="n">
        <v>6.7</v>
      </c>
      <c r="I319" s="16">
        <f>IF(2=INDEX('Bonds calculation'!$L$6:$L$40,MATCH(B319,'Bonds calculation'!$A$6:$A$40,0)),INDEX('Bonds calculation'!$G$6:$G$40,MATCH(B319,'Bonds calculation'!$A$6:$A$40,0)),0)</f>
        <v/>
      </c>
    </row>
    <row r="320">
      <c r="A320" s="6" t="inlineStr">
        <is>
          <t>2022-03</t>
        </is>
      </c>
      <c r="B320" s="6" t="n">
        <v>2022</v>
      </c>
      <c r="C320" s="27" t="n">
        <v>17464.75</v>
      </c>
      <c r="D320" s="30" t="inlineStr">
        <is>
          <t>2022-03-31</t>
        </is>
      </c>
      <c r="E320" s="27" t="n">
        <v>51317</v>
      </c>
      <c r="F320" s="30" t="inlineStr">
        <is>
          <t>2022-03-31</t>
        </is>
      </c>
      <c r="G320" s="22">
        <f>E320/10*$P$1</f>
        <v/>
      </c>
      <c r="H320" s="26" t="n">
        <v>6.7</v>
      </c>
      <c r="I320" s="16">
        <f>IF(3=INDEX('Bonds calculation'!$L$6:$L$40,MATCH(B320,'Bonds calculation'!$A$6:$A$40,0)),INDEX('Bonds calculation'!$G$6:$G$40,MATCH(B320,'Bonds calculation'!$A$6:$A$40,0)),0)</f>
        <v/>
      </c>
    </row>
    <row r="321">
      <c r="A321" s="6" t="inlineStr">
        <is>
          <t>2022-04</t>
        </is>
      </c>
      <c r="B321" s="6" t="n">
        <v>2022</v>
      </c>
      <c r="C321" s="27" t="n">
        <v>17102.55</v>
      </c>
      <c r="D321" s="30" t="inlineStr">
        <is>
          <t>2022-04-29</t>
        </is>
      </c>
      <c r="E321" s="27" t="n">
        <v>51847</v>
      </c>
      <c r="F321" s="30" t="inlineStr">
        <is>
          <t>2022-04-29</t>
        </is>
      </c>
      <c r="G321" s="22">
        <f>E321/10*$P$1</f>
        <v/>
      </c>
      <c r="H321" s="26" t="n">
        <v>6.7</v>
      </c>
      <c r="I321" s="16">
        <f>IF(4=INDEX('Bonds calculation'!$L$6:$L$40,MATCH(B321,'Bonds calculation'!$A$6:$A$40,0)),INDEX('Bonds calculation'!$G$6:$G$40,MATCH(B321,'Bonds calculation'!$A$6:$A$40,0)),0)</f>
        <v/>
      </c>
    </row>
    <row r="322">
      <c r="A322" s="6" t="inlineStr">
        <is>
          <t>2022-05</t>
        </is>
      </c>
      <c r="B322" s="6" t="n">
        <v>2022</v>
      </c>
      <c r="C322" s="27" t="n">
        <v>16584.55</v>
      </c>
      <c r="D322" s="30" t="inlineStr">
        <is>
          <t>2022-05-31</t>
        </is>
      </c>
      <c r="E322" s="27" t="n">
        <v>50861</v>
      </c>
      <c r="F322" s="30" t="inlineStr">
        <is>
          <t>2022-05-31</t>
        </is>
      </c>
      <c r="G322" s="22">
        <f>E322/10*$P$1</f>
        <v/>
      </c>
      <c r="H322" s="26" t="n">
        <v>6.7</v>
      </c>
      <c r="I322" s="16">
        <f>IF(5=INDEX('Bonds calculation'!$L$6:$L$40,MATCH(B322,'Bonds calculation'!$A$6:$A$40,0)),INDEX('Bonds calculation'!$G$6:$G$40,MATCH(B322,'Bonds calculation'!$A$6:$A$40,0)),0)</f>
        <v/>
      </c>
    </row>
    <row r="323">
      <c r="A323" s="6" t="inlineStr">
        <is>
          <t>2022-06</t>
        </is>
      </c>
      <c r="B323" s="6" t="n">
        <v>2022</v>
      </c>
      <c r="C323" s="27" t="n">
        <v>15780.25</v>
      </c>
      <c r="D323" s="30" t="inlineStr">
        <is>
          <t>2022-06-30</t>
        </is>
      </c>
      <c r="E323" s="27" t="n">
        <v>50699</v>
      </c>
      <c r="F323" s="30" t="inlineStr">
        <is>
          <t>2022-06-30</t>
        </is>
      </c>
      <c r="G323" s="22">
        <f>E323/10*$P$1</f>
        <v/>
      </c>
      <c r="H323" s="26" t="n">
        <v>6.7</v>
      </c>
      <c r="I323" s="16">
        <f>IF(6=INDEX('Bonds calculation'!$L$6:$L$40,MATCH(B323,'Bonds calculation'!$A$6:$A$40,0)),INDEX('Bonds calculation'!$G$6:$G$40,MATCH(B323,'Bonds calculation'!$A$6:$A$40,0)),0)</f>
        <v/>
      </c>
    </row>
    <row r="324">
      <c r="A324" s="6" t="inlineStr">
        <is>
          <t>2022-07</t>
        </is>
      </c>
      <c r="B324" s="6" t="n">
        <v>2022</v>
      </c>
      <c r="C324" s="27" t="n">
        <v>17158.25</v>
      </c>
      <c r="D324" s="30" t="inlineStr">
        <is>
          <t>2022-07-29</t>
        </is>
      </c>
      <c r="E324" s="27" t="n">
        <v>51301</v>
      </c>
      <c r="F324" s="30" t="inlineStr">
        <is>
          <t>2022-07-29</t>
        </is>
      </c>
      <c r="G324" s="22">
        <f>E324/10*$P$1</f>
        <v/>
      </c>
      <c r="H324" s="26" t="n">
        <v>6.7</v>
      </c>
      <c r="I324" s="16">
        <f>IF(7=INDEX('Bonds calculation'!$L$6:$L$40,MATCH(B324,'Bonds calculation'!$A$6:$A$40,0)),INDEX('Bonds calculation'!$G$6:$G$40,MATCH(B324,'Bonds calculation'!$A$6:$A$40,0)),0)</f>
        <v/>
      </c>
    </row>
    <row r="325">
      <c r="A325" s="6" t="inlineStr">
        <is>
          <t>2022-08</t>
        </is>
      </c>
      <c r="B325" s="6" t="n">
        <v>2022</v>
      </c>
      <c r="C325" s="27" t="n">
        <v>17759.3</v>
      </c>
      <c r="D325" s="30" t="inlineStr">
        <is>
          <t>2022-08-30</t>
        </is>
      </c>
      <c r="E325" s="27" t="n">
        <v>50986</v>
      </c>
      <c r="F325" s="30" t="inlineStr">
        <is>
          <t>2022-08-31</t>
        </is>
      </c>
      <c r="G325" s="22">
        <f>E325/10*$P$1</f>
        <v/>
      </c>
      <c r="H325" s="26" t="n">
        <v>6.7</v>
      </c>
      <c r="I325" s="16">
        <f>IF(8=INDEX('Bonds calculation'!$L$6:$L$40,MATCH(B325,'Bonds calculation'!$A$6:$A$40,0)),INDEX('Bonds calculation'!$G$6:$G$40,MATCH(B325,'Bonds calculation'!$A$6:$A$40,0)),0)</f>
        <v/>
      </c>
    </row>
    <row r="326">
      <c r="A326" s="6" t="inlineStr">
        <is>
          <t>2022-09</t>
        </is>
      </c>
      <c r="B326" s="6" t="n">
        <v>2022</v>
      </c>
      <c r="C326" s="27" t="n">
        <v>17094.35</v>
      </c>
      <c r="D326" s="30" t="inlineStr">
        <is>
          <t>2022-09-30</t>
        </is>
      </c>
      <c r="E326" s="27" t="n">
        <v>50074</v>
      </c>
      <c r="F326" s="30" t="inlineStr">
        <is>
          <t>2022-09-30</t>
        </is>
      </c>
      <c r="G326" s="22">
        <f>E326/10*$P$1</f>
        <v/>
      </c>
      <c r="H326" s="26" t="n">
        <v>6.7</v>
      </c>
      <c r="I326" s="16">
        <f>IF(9=INDEX('Bonds calculation'!$L$6:$L$40,MATCH(B326,'Bonds calculation'!$A$6:$A$40,0)),INDEX('Bonds calculation'!$G$6:$G$40,MATCH(B326,'Bonds calculation'!$A$6:$A$40,0)),0)</f>
        <v/>
      </c>
    </row>
    <row r="327">
      <c r="A327" s="6" t="inlineStr">
        <is>
          <t>2022-10</t>
        </is>
      </c>
      <c r="B327" s="6" t="n">
        <v>2022</v>
      </c>
      <c r="C327" s="27" t="n">
        <v>18012.2</v>
      </c>
      <c r="D327" s="30" t="inlineStr">
        <is>
          <t>2022-10-31</t>
        </is>
      </c>
      <c r="E327" s="27" t="n">
        <v>50187</v>
      </c>
      <c r="F327" s="30" t="inlineStr">
        <is>
          <t>2022-10-31</t>
        </is>
      </c>
      <c r="G327" s="22">
        <f>E327/10*$P$1</f>
        <v/>
      </c>
      <c r="H327" s="26" t="n">
        <v>6.7</v>
      </c>
      <c r="I327" s="16">
        <f>IF(10=INDEX('Bonds calculation'!$L$6:$L$40,MATCH(B327,'Bonds calculation'!$A$6:$A$40,0)),INDEX('Bonds calculation'!$G$6:$G$40,MATCH(B327,'Bonds calculation'!$A$6:$A$40,0)),0)</f>
        <v/>
      </c>
    </row>
    <row r="328">
      <c r="A328" s="6" t="inlineStr">
        <is>
          <t>2022-11</t>
        </is>
      </c>
      <c r="B328" s="6" t="n">
        <v>2022</v>
      </c>
      <c r="C328" s="27" t="n">
        <v>18758.35</v>
      </c>
      <c r="D328" s="30" t="inlineStr">
        <is>
          <t>2022-11-30</t>
        </is>
      </c>
      <c r="E328" s="27" t="n">
        <v>52574</v>
      </c>
      <c r="F328" s="30" t="inlineStr">
        <is>
          <t>2022-11-30</t>
        </is>
      </c>
      <c r="G328" s="22">
        <f>E328/10*$P$1</f>
        <v/>
      </c>
      <c r="H328" s="26" t="n">
        <v>6.7</v>
      </c>
      <c r="I328" s="16">
        <f>IF(11=INDEX('Bonds calculation'!$L$6:$L$40,MATCH(B328,'Bonds calculation'!$A$6:$A$40,0)),INDEX('Bonds calculation'!$G$6:$G$40,MATCH(B328,'Bonds calculation'!$A$6:$A$40,0)),0)</f>
        <v/>
      </c>
    </row>
    <row r="329">
      <c r="A329" s="6" t="inlineStr">
        <is>
          <t>2022-12</t>
        </is>
      </c>
      <c r="B329" s="6" t="n">
        <v>2022</v>
      </c>
      <c r="C329" s="27" t="n">
        <v>18105.3</v>
      </c>
      <c r="D329" s="30" t="inlineStr">
        <is>
          <t>2022-12-30</t>
        </is>
      </c>
      <c r="E329" s="27" t="n">
        <v>54556</v>
      </c>
      <c r="F329" s="30" t="inlineStr">
        <is>
          <t>2022-12-30</t>
        </is>
      </c>
      <c r="G329" s="22">
        <f>E329/10*$P$1</f>
        <v/>
      </c>
      <c r="H329" s="26" t="n">
        <v>6.7</v>
      </c>
      <c r="I329" s="16">
        <f>IF(12=INDEX('Bonds calculation'!$L$6:$L$40,MATCH(B329,'Bonds calculation'!$A$6:$A$40,0)),INDEX('Bonds calculation'!$G$6:$G$40,MATCH(B329,'Bonds calculation'!$A$6:$A$40,0)),0)</f>
        <v/>
      </c>
    </row>
    <row r="330">
      <c r="A330" s="6" t="inlineStr">
        <is>
          <t>2023-01</t>
        </is>
      </c>
      <c r="B330" s="6" t="n">
        <v>2023</v>
      </c>
      <c r="C330" s="27" t="n">
        <v>17662.15</v>
      </c>
      <c r="D330" s="30" t="inlineStr">
        <is>
          <t>2023-01-31</t>
        </is>
      </c>
      <c r="E330" s="27" t="n">
        <v>56719</v>
      </c>
      <c r="F330" s="30" t="inlineStr">
        <is>
          <t>2023-01-31</t>
        </is>
      </c>
      <c r="G330" s="22">
        <f>E330/10*$P$1</f>
        <v/>
      </c>
      <c r="H330" s="26" t="n">
        <v>5.65</v>
      </c>
      <c r="I330" s="16">
        <f>IF(1=INDEX('Bonds calculation'!$L$6:$L$40,MATCH(B330,'Bonds calculation'!$A$6:$A$40,0)),INDEX('Bonds calculation'!$G$6:$G$40,MATCH(B330,'Bonds calculation'!$A$6:$A$40,0)),0)</f>
        <v/>
      </c>
    </row>
    <row r="331">
      <c r="A331" s="6" t="inlineStr">
        <is>
          <t>2023-02</t>
        </is>
      </c>
      <c r="B331" s="6" t="n">
        <v>2023</v>
      </c>
      <c r="C331" s="27" t="n">
        <v>17303.95</v>
      </c>
      <c r="D331" s="30" t="inlineStr">
        <is>
          <t>2023-02-28</t>
        </is>
      </c>
      <c r="E331" s="27" t="n">
        <v>55320</v>
      </c>
      <c r="F331" s="30" t="inlineStr">
        <is>
          <t>2023-02-28</t>
        </is>
      </c>
      <c r="G331" s="22">
        <f>E331/10*$P$1</f>
        <v/>
      </c>
      <c r="H331" s="26" t="n">
        <v>5.65</v>
      </c>
      <c r="I331" s="16">
        <f>IF(2=INDEX('Bonds calculation'!$L$6:$L$40,MATCH(B331,'Bonds calculation'!$A$6:$A$40,0)),INDEX('Bonds calculation'!$G$6:$G$40,MATCH(B331,'Bonds calculation'!$A$6:$A$40,0)),0)</f>
        <v/>
      </c>
    </row>
    <row r="332">
      <c r="A332" s="6" t="inlineStr">
        <is>
          <t>2023-03</t>
        </is>
      </c>
      <c r="B332" s="6" t="n">
        <v>2023</v>
      </c>
      <c r="C332" s="27" t="n">
        <v>17359.75</v>
      </c>
      <c r="D332" s="30" t="inlineStr">
        <is>
          <t>2023-03-31</t>
        </is>
      </c>
      <c r="E332" s="27" t="n">
        <v>59560</v>
      </c>
      <c r="F332" s="30" t="inlineStr">
        <is>
          <t>2023-03-31</t>
        </is>
      </c>
      <c r="G332" s="22">
        <f>E332/10*$P$1</f>
        <v/>
      </c>
      <c r="H332" s="26" t="n">
        <v>5.65</v>
      </c>
      <c r="I332" s="16">
        <f>IF(3=INDEX('Bonds calculation'!$L$6:$L$40,MATCH(B332,'Bonds calculation'!$A$6:$A$40,0)),INDEX('Bonds calculation'!$G$6:$G$40,MATCH(B332,'Bonds calculation'!$A$6:$A$40,0)),0)</f>
        <v/>
      </c>
    </row>
    <row r="333">
      <c r="A333" s="6" t="inlineStr">
        <is>
          <t>2023-04</t>
        </is>
      </c>
      <c r="B333" s="6" t="n">
        <v>2023</v>
      </c>
      <c r="C333" s="27" t="n">
        <v>18065</v>
      </c>
      <c r="D333" s="30" t="inlineStr">
        <is>
          <t>2023-04-28</t>
        </is>
      </c>
      <c r="E333" s="27" t="n">
        <v>59897</v>
      </c>
      <c r="F333" s="30" t="inlineStr">
        <is>
          <t>2023-04-28</t>
        </is>
      </c>
      <c r="G333" s="22">
        <f>E333/10*$P$1</f>
        <v/>
      </c>
      <c r="H333" s="26" t="n">
        <v>5.65</v>
      </c>
      <c r="I333" s="16">
        <f>IF(4=INDEX('Bonds calculation'!$L$6:$L$40,MATCH(B333,'Bonds calculation'!$A$6:$A$40,0)),INDEX('Bonds calculation'!$G$6:$G$40,MATCH(B333,'Bonds calculation'!$A$6:$A$40,0)),0)</f>
        <v/>
      </c>
    </row>
    <row r="334">
      <c r="A334" s="6" t="inlineStr">
        <is>
          <t>2023-05</t>
        </is>
      </c>
      <c r="B334" s="6" t="n">
        <v>2023</v>
      </c>
      <c r="C334" s="27" t="n">
        <v>18534.4</v>
      </c>
      <c r="D334" s="30" t="inlineStr">
        <is>
          <t>2023-05-31</t>
        </is>
      </c>
      <c r="E334" s="27" t="n">
        <v>60133</v>
      </c>
      <c r="F334" s="30" t="inlineStr">
        <is>
          <t>2023-05-31</t>
        </is>
      </c>
      <c r="G334" s="22">
        <f>E334/10*$P$1</f>
        <v/>
      </c>
      <c r="H334" s="26" t="n">
        <v>5.65</v>
      </c>
      <c r="I334" s="16">
        <f>IF(5=INDEX('Bonds calculation'!$L$6:$L$40,MATCH(B334,'Bonds calculation'!$A$6:$A$40,0)),INDEX('Bonds calculation'!$G$6:$G$40,MATCH(B334,'Bonds calculation'!$A$6:$A$40,0)),0)</f>
        <v/>
      </c>
    </row>
    <row r="335">
      <c r="A335" s="6" t="inlineStr">
        <is>
          <t>2023-06</t>
        </is>
      </c>
      <c r="B335" s="6" t="n">
        <v>2023</v>
      </c>
      <c r="C335" s="27" t="n">
        <v>19189.05</v>
      </c>
      <c r="D335" s="30" t="inlineStr">
        <is>
          <t>2023-06-30</t>
        </is>
      </c>
      <c r="E335" s="27" t="n">
        <v>57810</v>
      </c>
      <c r="F335" s="30" t="inlineStr">
        <is>
          <t>2023-06-30</t>
        </is>
      </c>
      <c r="G335" s="22">
        <f>E335/10*$P$1</f>
        <v/>
      </c>
      <c r="H335" s="26" t="n">
        <v>5.65</v>
      </c>
      <c r="I335" s="16">
        <f>IF(6=INDEX('Bonds calculation'!$L$6:$L$40,MATCH(B335,'Bonds calculation'!$A$6:$A$40,0)),INDEX('Bonds calculation'!$G$6:$G$40,MATCH(B335,'Bonds calculation'!$A$6:$A$40,0)),0)</f>
        <v/>
      </c>
    </row>
    <row r="336">
      <c r="A336" s="6" t="inlineStr">
        <is>
          <t>2023-07</t>
        </is>
      </c>
      <c r="B336" s="6" t="n">
        <v>2023</v>
      </c>
      <c r="C336" s="27" t="n">
        <v>19753.8</v>
      </c>
      <c r="D336" s="30" t="inlineStr">
        <is>
          <t>2023-07-31</t>
        </is>
      </c>
      <c r="E336" s="27" t="n">
        <v>59283</v>
      </c>
      <c r="F336" s="30" t="inlineStr">
        <is>
          <t>2023-07-31</t>
        </is>
      </c>
      <c r="G336" s="22">
        <f>E336/10*$P$1</f>
        <v/>
      </c>
      <c r="H336" s="26" t="n">
        <v>5.65</v>
      </c>
      <c r="I336" s="16">
        <f>IF(7=INDEX('Bonds calculation'!$L$6:$L$40,MATCH(B336,'Bonds calculation'!$A$6:$A$40,0)),INDEX('Bonds calculation'!$G$6:$G$40,MATCH(B336,'Bonds calculation'!$A$6:$A$40,0)),0)</f>
        <v/>
      </c>
    </row>
    <row r="337">
      <c r="A337" s="6" t="inlineStr">
        <is>
          <t>2023-08</t>
        </is>
      </c>
      <c r="B337" s="6" t="n">
        <v>2023</v>
      </c>
      <c r="C337" s="27" t="n">
        <v>19253.8</v>
      </c>
      <c r="D337" s="30" t="inlineStr">
        <is>
          <t>2023-08-31</t>
        </is>
      </c>
      <c r="E337" s="27" t="n">
        <v>59262</v>
      </c>
      <c r="F337" s="30" t="inlineStr">
        <is>
          <t>2023-08-31</t>
        </is>
      </c>
      <c r="G337" s="22">
        <f>E337/10*$P$1</f>
        <v/>
      </c>
      <c r="H337" s="26" t="n">
        <v>5.65</v>
      </c>
      <c r="I337" s="16">
        <f>IF(8=INDEX('Bonds calculation'!$L$6:$L$40,MATCH(B337,'Bonds calculation'!$A$6:$A$40,0)),INDEX('Bonds calculation'!$G$6:$G$40,MATCH(B337,'Bonds calculation'!$A$6:$A$40,0)),0)</f>
        <v/>
      </c>
    </row>
    <row r="338">
      <c r="A338" s="6" t="inlineStr">
        <is>
          <t>2023-09</t>
        </is>
      </c>
      <c r="B338" s="6" t="n">
        <v>2023</v>
      </c>
      <c r="C338" s="27" t="n">
        <v>19638.3</v>
      </c>
      <c r="D338" s="30" t="inlineStr">
        <is>
          <t>2023-09-29</t>
        </is>
      </c>
      <c r="E338" s="27" t="n">
        <v>57594</v>
      </c>
      <c r="F338" s="30" t="inlineStr">
        <is>
          <t>2023-09-29</t>
        </is>
      </c>
      <c r="G338" s="22">
        <f>E338/10*$P$1</f>
        <v/>
      </c>
      <c r="H338" s="26" t="n">
        <v>5.65</v>
      </c>
      <c r="I338" s="16">
        <f>IF(9=INDEX('Bonds calculation'!$L$6:$L$40,MATCH(B338,'Bonds calculation'!$A$6:$A$40,0)),INDEX('Bonds calculation'!$G$6:$G$40,MATCH(B338,'Bonds calculation'!$A$6:$A$40,0)),0)</f>
        <v/>
      </c>
    </row>
    <row r="339">
      <c r="A339" s="6" t="inlineStr">
        <is>
          <t>2023-10</t>
        </is>
      </c>
      <c r="B339" s="6" t="n">
        <v>2023</v>
      </c>
      <c r="C339" s="27" t="n">
        <v>19079.6</v>
      </c>
      <c r="D339" s="30" t="inlineStr">
        <is>
          <t>2023-10-31</t>
        </is>
      </c>
      <c r="E339" s="27" t="n">
        <v>61080</v>
      </c>
      <c r="F339" s="30" t="inlineStr">
        <is>
          <t>2023-10-31</t>
        </is>
      </c>
      <c r="G339" s="22">
        <f>E339/10*$P$1</f>
        <v/>
      </c>
      <c r="H339" s="26" t="n">
        <v>5.65</v>
      </c>
      <c r="I339" s="16">
        <f>IF(10=INDEX('Bonds calculation'!$L$6:$L$40,MATCH(B339,'Bonds calculation'!$A$6:$A$40,0)),INDEX('Bonds calculation'!$G$6:$G$40,MATCH(B339,'Bonds calculation'!$A$6:$A$40,0)),0)</f>
        <v/>
      </c>
    </row>
    <row r="340">
      <c r="A340" s="6" t="inlineStr">
        <is>
          <t>2023-11</t>
        </is>
      </c>
      <c r="B340" s="6" t="n">
        <v>2023</v>
      </c>
      <c r="C340" s="27" t="n">
        <v>20133.15</v>
      </c>
      <c r="D340" s="30" t="inlineStr">
        <is>
          <t>2023-11-30</t>
        </is>
      </c>
      <c r="E340" s="27" t="n">
        <v>62440</v>
      </c>
      <c r="F340" s="30" t="inlineStr">
        <is>
          <t>2023-11-30</t>
        </is>
      </c>
      <c r="G340" s="22">
        <f>E340/10*$P$1</f>
        <v/>
      </c>
      <c r="H340" s="26" t="n">
        <v>5.65</v>
      </c>
      <c r="I340" s="16">
        <f>IF(11=INDEX('Bonds calculation'!$L$6:$L$40,MATCH(B340,'Bonds calculation'!$A$6:$A$40,0)),INDEX('Bonds calculation'!$G$6:$G$40,MATCH(B340,'Bonds calculation'!$A$6:$A$40,0)),0)</f>
        <v/>
      </c>
    </row>
    <row r="341">
      <c r="A341" s="6" t="inlineStr">
        <is>
          <t>2023-12</t>
        </is>
      </c>
      <c r="B341" s="6" t="n">
        <v>2023</v>
      </c>
      <c r="C341" s="27" t="n">
        <v>21731.4</v>
      </c>
      <c r="D341" s="30" t="inlineStr">
        <is>
          <t>2023-12-29</t>
        </is>
      </c>
      <c r="E341" s="27" t="n">
        <v>62939</v>
      </c>
      <c r="F341" s="30" t="inlineStr">
        <is>
          <t>2023-12-29</t>
        </is>
      </c>
      <c r="G341" s="22">
        <f>E341/10*$P$1</f>
        <v/>
      </c>
      <c r="H341" s="26" t="n">
        <v>5.65</v>
      </c>
      <c r="I341" s="16">
        <f>IF(12=INDEX('Bonds calculation'!$L$6:$L$40,MATCH(B341,'Bonds calculation'!$A$6:$A$40,0)),INDEX('Bonds calculation'!$G$6:$G$40,MATCH(B341,'Bonds calculation'!$A$6:$A$40,0)),0)</f>
        <v/>
      </c>
    </row>
    <row r="342">
      <c r="A342" s="6" t="inlineStr">
        <is>
          <t>2024-01</t>
        </is>
      </c>
      <c r="B342" s="6" t="n">
        <v>2024</v>
      </c>
      <c r="C342" s="27" t="n">
        <v>21725.7</v>
      </c>
      <c r="D342" s="30" t="inlineStr">
        <is>
          <t>2024-01-31</t>
        </is>
      </c>
      <c r="E342" s="27" t="n">
        <v>62591</v>
      </c>
      <c r="F342" s="30" t="inlineStr">
        <is>
          <t>2024-01-31</t>
        </is>
      </c>
      <c r="G342" s="22">
        <f>E342/10*$P$1</f>
        <v/>
      </c>
      <c r="H342" s="26" t="n">
        <v>5</v>
      </c>
      <c r="I342" s="16">
        <f>IF(1=INDEX('Bonds calculation'!$L$6:$L$40,MATCH(B342,'Bonds calculation'!$A$6:$A$40,0)),INDEX('Bonds calculation'!$G$6:$G$40,MATCH(B342,'Bonds calculation'!$A$6:$A$40,0)),0)</f>
        <v/>
      </c>
    </row>
    <row r="343">
      <c r="A343" s="6" t="inlineStr">
        <is>
          <t>2024-02</t>
        </is>
      </c>
      <c r="B343" s="6" t="n">
        <v>2024</v>
      </c>
      <c r="C343" s="27" t="n">
        <v>21982.8</v>
      </c>
      <c r="D343" s="30" t="inlineStr">
        <is>
          <t>2024-02-29</t>
        </is>
      </c>
      <c r="E343" s="27" t="n">
        <v>62010</v>
      </c>
      <c r="F343" s="30" t="inlineStr">
        <is>
          <t>2024-02-29</t>
        </is>
      </c>
      <c r="G343" s="22">
        <f>E343/10*$P$1</f>
        <v/>
      </c>
      <c r="H343" s="26" t="n">
        <v>5</v>
      </c>
      <c r="I343" s="16">
        <f>IF(2=INDEX('Bonds calculation'!$L$6:$L$40,MATCH(B343,'Bonds calculation'!$A$6:$A$40,0)),INDEX('Bonds calculation'!$G$6:$G$40,MATCH(B343,'Bonds calculation'!$A$6:$A$40,0)),0)</f>
        <v/>
      </c>
    </row>
    <row r="344">
      <c r="A344" s="6" t="inlineStr">
        <is>
          <t>2024-03</t>
        </is>
      </c>
      <c r="B344" s="6" t="n">
        <v>2024</v>
      </c>
      <c r="C344" s="27" t="n">
        <v>22326.9</v>
      </c>
      <c r="D344" s="30" t="inlineStr">
        <is>
          <t>2024-03-28</t>
        </is>
      </c>
      <c r="E344" s="27" t="n">
        <v>66987</v>
      </c>
      <c r="F344" s="30" t="inlineStr">
        <is>
          <t>2024-03-28</t>
        </is>
      </c>
      <c r="G344" s="22">
        <f>E344/10*$P$1</f>
        <v/>
      </c>
      <c r="H344" s="26" t="n">
        <v>5</v>
      </c>
      <c r="I344" s="16">
        <f>IF(3=INDEX('Bonds calculation'!$L$6:$L$40,MATCH(B344,'Bonds calculation'!$A$6:$A$40,0)),INDEX('Bonds calculation'!$G$6:$G$40,MATCH(B344,'Bonds calculation'!$A$6:$A$40,0)),0)</f>
        <v/>
      </c>
    </row>
    <row r="345">
      <c r="A345" s="6" t="inlineStr">
        <is>
          <t>2024-04</t>
        </is>
      </c>
      <c r="B345" s="6" t="n">
        <v>2024</v>
      </c>
      <c r="C345" s="27" t="n">
        <v>22604.85</v>
      </c>
      <c r="D345" s="30" t="inlineStr">
        <is>
          <t>2024-04-30</t>
        </is>
      </c>
      <c r="E345" s="27" t="n">
        <v>71529</v>
      </c>
      <c r="F345" s="30" t="inlineStr">
        <is>
          <t>2024-04-30</t>
        </is>
      </c>
      <c r="G345" s="22">
        <f>E345/10*$P$1</f>
        <v/>
      </c>
      <c r="H345" s="26" t="n">
        <v>5</v>
      </c>
      <c r="I345" s="16">
        <f>IF(4=INDEX('Bonds calculation'!$L$6:$L$40,MATCH(B345,'Bonds calculation'!$A$6:$A$40,0)),INDEX('Bonds calculation'!$G$6:$G$40,MATCH(B345,'Bonds calculation'!$A$6:$A$40,0)),0)</f>
        <v/>
      </c>
    </row>
    <row r="346">
      <c r="A346" s="6" t="inlineStr">
        <is>
          <t>2024-05</t>
        </is>
      </c>
      <c r="B346" s="6" t="n">
        <v>2024</v>
      </c>
      <c r="C346" s="27" t="n">
        <v>22530.7</v>
      </c>
      <c r="D346" s="30" t="inlineStr">
        <is>
          <t>2024-05-31</t>
        </is>
      </c>
      <c r="E346" s="27" t="n">
        <v>72127</v>
      </c>
      <c r="F346" s="30" t="inlineStr">
        <is>
          <t>2024-05-31</t>
        </is>
      </c>
      <c r="G346" s="22">
        <f>E346/10*$P$1</f>
        <v/>
      </c>
      <c r="H346" s="26" t="n">
        <v>5</v>
      </c>
      <c r="I346" s="16">
        <f>IF(5=INDEX('Bonds calculation'!$L$6:$L$40,MATCH(B346,'Bonds calculation'!$A$6:$A$40,0)),INDEX('Bonds calculation'!$G$6:$G$40,MATCH(B346,'Bonds calculation'!$A$6:$A$40,0)),0)</f>
        <v/>
      </c>
    </row>
    <row r="347">
      <c r="A347" s="6" t="inlineStr">
        <is>
          <t>2024-06</t>
        </is>
      </c>
      <c r="B347" s="6" t="n">
        <v>2024</v>
      </c>
      <c r="C347" s="27" t="n">
        <v>24010.6</v>
      </c>
      <c r="D347" s="30" t="inlineStr">
        <is>
          <t>2024-06-28</t>
        </is>
      </c>
      <c r="E347" s="27" t="n">
        <v>71563</v>
      </c>
      <c r="F347" s="30" t="inlineStr">
        <is>
          <t>2024-06-28</t>
        </is>
      </c>
      <c r="G347" s="22">
        <f>E347/10*$P$1</f>
        <v/>
      </c>
      <c r="H347" s="26" t="n">
        <v>5</v>
      </c>
      <c r="I347" s="16">
        <f>IF(6=INDEX('Bonds calculation'!$L$6:$L$40,MATCH(B347,'Bonds calculation'!$A$6:$A$40,0)),INDEX('Bonds calculation'!$G$6:$G$40,MATCH(B347,'Bonds calculation'!$A$6:$A$40,0)),0)</f>
        <v/>
      </c>
    </row>
    <row r="348">
      <c r="A348" s="6" t="inlineStr">
        <is>
          <t>2024-07</t>
        </is>
      </c>
      <c r="B348" s="6" t="n">
        <v>2024</v>
      </c>
      <c r="C348" s="27" t="n">
        <v>24951.15</v>
      </c>
      <c r="D348" s="30" t="inlineStr">
        <is>
          <t>2024-07-31</t>
        </is>
      </c>
      <c r="E348" s="27" t="n">
        <v>69046</v>
      </c>
      <c r="F348" s="30" t="inlineStr">
        <is>
          <t>2024-07-31</t>
        </is>
      </c>
      <c r="G348" s="22">
        <f>E348/10*$P$1</f>
        <v/>
      </c>
      <c r="H348" s="26" t="n">
        <v>5</v>
      </c>
      <c r="I348" s="16">
        <f>IF(7=INDEX('Bonds calculation'!$L$6:$L$40,MATCH(B348,'Bonds calculation'!$A$6:$A$40,0)),INDEX('Bonds calculation'!$G$6:$G$40,MATCH(B348,'Bonds calculation'!$A$6:$A$40,0)),0)</f>
        <v/>
      </c>
    </row>
    <row r="349">
      <c r="A349" s="6" t="inlineStr">
        <is>
          <t>2024-08</t>
        </is>
      </c>
      <c r="B349" s="6" t="n">
        <v>2024</v>
      </c>
      <c r="C349" s="27" t="n">
        <v>25235.9</v>
      </c>
      <c r="D349" s="30" t="inlineStr">
        <is>
          <t>2024-08-30</t>
        </is>
      </c>
      <c r="E349" s="27" t="n">
        <v>71679</v>
      </c>
      <c r="F349" s="30" t="inlineStr">
        <is>
          <t>2024-08-30</t>
        </is>
      </c>
      <c r="G349" s="22">
        <f>E349/10*$P$1</f>
        <v/>
      </c>
      <c r="H349" s="26" t="n">
        <v>5</v>
      </c>
      <c r="I349" s="16">
        <f>IF(8=INDEX('Bonds calculation'!$L$6:$L$40,MATCH(B349,'Bonds calculation'!$A$6:$A$40,0)),INDEX('Bonds calculation'!$G$6:$G$40,MATCH(B349,'Bonds calculation'!$A$6:$A$40,0)),0)</f>
        <v/>
      </c>
    </row>
    <row r="350">
      <c r="A350" s="6" t="inlineStr">
        <is>
          <t>2024-09</t>
        </is>
      </c>
      <c r="B350" s="6" t="n">
        <v>2024</v>
      </c>
      <c r="C350" s="27" t="n">
        <v>25810.85</v>
      </c>
      <c r="D350" s="30" t="inlineStr">
        <is>
          <t>2024-09-30</t>
        </is>
      </c>
      <c r="E350" s="27" t="n">
        <v>75051</v>
      </c>
      <c r="F350" s="30" t="inlineStr">
        <is>
          <t>2024-09-30</t>
        </is>
      </c>
      <c r="G350" s="22">
        <f>E350/10*$P$1</f>
        <v/>
      </c>
      <c r="H350" s="26" t="n">
        <v>5</v>
      </c>
      <c r="I350" s="16">
        <f>IF(9=INDEX('Bonds calculation'!$L$6:$L$40,MATCH(B350,'Bonds calculation'!$A$6:$A$40,0)),INDEX('Bonds calculation'!$G$6:$G$40,MATCH(B350,'Bonds calculation'!$A$6:$A$40,0)),0)</f>
        <v/>
      </c>
    </row>
    <row r="351">
      <c r="A351" s="6" t="inlineStr">
        <is>
          <t>2024-10</t>
        </is>
      </c>
      <c r="B351" s="6" t="n">
        <v>2024</v>
      </c>
      <c r="C351" s="27" t="n">
        <v>24205.35</v>
      </c>
      <c r="D351" s="30" t="inlineStr">
        <is>
          <t>2024-10-31</t>
        </is>
      </c>
      <c r="E351" s="27" t="n">
        <v>79181</v>
      </c>
      <c r="F351" s="30" t="inlineStr">
        <is>
          <t>2024-10-31</t>
        </is>
      </c>
      <c r="G351" s="22">
        <f>E351/10*$P$1</f>
        <v/>
      </c>
      <c r="H351" s="26" t="n">
        <v>5</v>
      </c>
      <c r="I351" s="16">
        <f>IF(10=INDEX('Bonds calculation'!$L$6:$L$40,MATCH(B351,'Bonds calculation'!$A$6:$A$40,0)),INDEX('Bonds calculation'!$G$6:$G$40,MATCH(B351,'Bonds calculation'!$A$6:$A$40,0)),0)</f>
        <v/>
      </c>
    </row>
    <row r="352">
      <c r="A352" s="6" t="inlineStr">
        <is>
          <t>2024-11</t>
        </is>
      </c>
      <c r="B352" s="6" t="n">
        <v>2024</v>
      </c>
      <c r="C352" s="27" t="n">
        <v>24131.1</v>
      </c>
      <c r="D352" s="30" t="inlineStr">
        <is>
          <t>2024-11-29</t>
        </is>
      </c>
      <c r="E352" s="27" t="n">
        <v>76400</v>
      </c>
      <c r="F352" s="30" t="inlineStr">
        <is>
          <t>2024-11-29</t>
        </is>
      </c>
      <c r="G352" s="22">
        <f>E352/10*$P$1</f>
        <v/>
      </c>
      <c r="H352" s="26" t="n">
        <v>5</v>
      </c>
      <c r="I352" s="16">
        <f>IF(11=INDEX('Bonds calculation'!$L$6:$L$40,MATCH(B352,'Bonds calculation'!$A$6:$A$40,0)),INDEX('Bonds calculation'!$G$6:$G$40,MATCH(B352,'Bonds calculation'!$A$6:$A$40,0)),0)</f>
        <v/>
      </c>
    </row>
    <row r="353">
      <c r="A353" s="6" t="inlineStr">
        <is>
          <t>2024-12</t>
        </is>
      </c>
      <c r="B353" s="6" t="n">
        <v>2024</v>
      </c>
      <c r="C353" s="27" t="n">
        <v>23644.8</v>
      </c>
      <c r="D353" s="30" t="inlineStr">
        <is>
          <t>2024-12-31</t>
        </is>
      </c>
      <c r="E353" s="27" t="n">
        <v>75913</v>
      </c>
      <c r="F353" s="30" t="inlineStr">
        <is>
          <t>2024-12-31</t>
        </is>
      </c>
      <c r="G353" s="22">
        <f>E353/10*$P$1</f>
        <v/>
      </c>
      <c r="H353" s="26" t="n">
        <v>5</v>
      </c>
      <c r="I353" s="16">
        <f>IF(12=INDEX('Bonds calculation'!$L$6:$L$40,MATCH(B353,'Bonds calculation'!$A$6:$A$40,0)),INDEX('Bonds calculation'!$G$6:$G$40,MATCH(B353,'Bonds calculation'!$A$6:$A$40,0)),0)</f>
        <v/>
      </c>
    </row>
    <row r="354">
      <c r="A354" s="6" t="inlineStr">
        <is>
          <t>2025-01</t>
        </is>
      </c>
      <c r="B354" s="6" t="n">
        <v>2025</v>
      </c>
      <c r="C354" s="27" t="n">
        <v>23508.4</v>
      </c>
      <c r="D354" s="30" t="inlineStr">
        <is>
          <t>2025-01-31</t>
        </is>
      </c>
      <c r="E354" s="27" t="n">
        <v>81798</v>
      </c>
      <c r="F354" s="30" t="inlineStr">
        <is>
          <t>2025-01-31</t>
        </is>
      </c>
      <c r="G354" s="22">
        <f>E354/10*$P$1</f>
        <v/>
      </c>
      <c r="H354" s="26" t="n">
        <v>2.4</v>
      </c>
      <c r="I354" s="16">
        <f>IF(1=INDEX('Bonds calculation'!$L$6:$L$40,MATCH(B354,'Bonds calculation'!$A$6:$A$40,0)),INDEX('Bonds calculation'!$G$6:$G$40,MATCH(B354,'Bonds calculation'!$A$6:$A$40,0)),0)</f>
        <v/>
      </c>
    </row>
    <row r="355">
      <c r="A355" s="6" t="inlineStr">
        <is>
          <t>2025-02</t>
        </is>
      </c>
      <c r="B355" s="6" t="n">
        <v>2025</v>
      </c>
      <c r="C355" s="27" t="n">
        <v>22124.7</v>
      </c>
      <c r="D355" s="30" t="inlineStr">
        <is>
          <t>2025-02-28</t>
        </is>
      </c>
      <c r="E355" s="27" t="n">
        <v>84789</v>
      </c>
      <c r="F355" s="30" t="inlineStr">
        <is>
          <t>2025-02-28</t>
        </is>
      </c>
      <c r="G355" s="22">
        <f>E355/10*$P$1</f>
        <v/>
      </c>
      <c r="H355" s="26" t="n">
        <v>2.4</v>
      </c>
      <c r="I355" s="16">
        <f>IF(2=INDEX('Bonds calculation'!$L$6:$L$40,MATCH(B355,'Bonds calculation'!$A$6:$A$40,0)),INDEX('Bonds calculation'!$G$6:$G$40,MATCH(B355,'Bonds calculation'!$A$6:$A$40,0)),0)</f>
        <v/>
      </c>
    </row>
    <row r="356">
      <c r="A356" s="6" t="inlineStr">
        <is>
          <t>2025-03</t>
        </is>
      </c>
      <c r="B356" s="6" t="n">
        <v>2025</v>
      </c>
      <c r="C356" s="27" t="n">
        <v>23519.35</v>
      </c>
      <c r="D356" s="30" t="inlineStr">
        <is>
          <t>2025-03-28</t>
        </is>
      </c>
      <c r="E356" s="27" t="n">
        <v>88691</v>
      </c>
      <c r="F356" s="30" t="inlineStr">
        <is>
          <t>2025-03-31</t>
        </is>
      </c>
      <c r="G356" s="22">
        <f>E356/10*$P$1</f>
        <v/>
      </c>
      <c r="H356" s="26" t="n">
        <v>2.4</v>
      </c>
      <c r="I356" s="16">
        <f>IF(3=INDEX('Bonds calculation'!$L$6:$L$40,MATCH(B356,'Bonds calculation'!$A$6:$A$40,0)),INDEX('Bonds calculation'!$G$6:$G$40,MATCH(B356,'Bonds calculation'!$A$6:$A$40,0)),0)</f>
        <v/>
      </c>
    </row>
    <row r="357">
      <c r="A357" s="6" t="inlineStr">
        <is>
          <t>2025-04</t>
        </is>
      </c>
      <c r="B357" s="6" t="n">
        <v>2025</v>
      </c>
      <c r="C357" s="27" t="n">
        <v>24334.2</v>
      </c>
      <c r="D357" s="30" t="inlineStr">
        <is>
          <t>2025-04-30</t>
        </is>
      </c>
      <c r="E357" s="27" t="n">
        <v>93928</v>
      </c>
      <c r="F357" s="30" t="inlineStr">
        <is>
          <t>2025-04-30</t>
        </is>
      </c>
      <c r="G357" s="22">
        <f>E357/10*$P$1</f>
        <v/>
      </c>
      <c r="H357" s="26" t="n">
        <v>2.4</v>
      </c>
      <c r="I357" s="16">
        <f>IF(4=INDEX('Bonds calculation'!$L$6:$L$40,MATCH(B357,'Bonds calculation'!$A$6:$A$40,0)),INDEX('Bonds calculation'!$G$6:$G$40,MATCH(B357,'Bonds calculation'!$A$6:$A$40,0)),0)</f>
        <v/>
      </c>
    </row>
    <row r="358">
      <c r="A358" s="6" t="inlineStr">
        <is>
          <t>2025-05</t>
        </is>
      </c>
      <c r="B358" s="6" t="n">
        <v>2025</v>
      </c>
      <c r="C358" s="27" t="n">
        <v>24750.7</v>
      </c>
      <c r="D358" s="30" t="inlineStr">
        <is>
          <t>2025-05-30</t>
        </is>
      </c>
      <c r="E358" s="27" t="n">
        <v>95058</v>
      </c>
      <c r="F358" s="30" t="inlineStr">
        <is>
          <t>2025-05-30</t>
        </is>
      </c>
      <c r="G358" s="22">
        <f>E358/10*$P$1</f>
        <v/>
      </c>
      <c r="H358" s="26" t="n">
        <v>2.4</v>
      </c>
      <c r="I358" s="16">
        <f>IF(5=INDEX('Bonds calculation'!$L$6:$L$40,MATCH(B358,'Bonds calculation'!$A$6:$A$40,0)),INDEX('Bonds calculation'!$G$6:$G$40,MATCH(B358,'Bonds calculation'!$A$6:$A$40,0)),0)</f>
        <v/>
      </c>
    </row>
    <row r="359">
      <c r="A359" s="6" t="inlineStr">
        <is>
          <t>2025-06</t>
        </is>
      </c>
      <c r="B359" s="6" t="n">
        <v>2025</v>
      </c>
      <c r="C359" s="27" t="n">
        <v>25517.05</v>
      </c>
      <c r="D359" s="30" t="inlineStr">
        <is>
          <t>2025-06-30</t>
        </is>
      </c>
      <c r="E359" s="27" t="n">
        <v>95676</v>
      </c>
      <c r="F359" s="30" t="inlineStr">
        <is>
          <t>2025-06-30</t>
        </is>
      </c>
      <c r="G359" s="22">
        <f>E359/10*$P$1</f>
        <v/>
      </c>
      <c r="H359" s="26" t="n">
        <v>2.4</v>
      </c>
      <c r="I359" s="16">
        <f>IF(6=INDEX('Bonds calculation'!$L$6:$L$40,MATCH(B359,'Bonds calculation'!$A$6:$A$40,0)),INDEX('Bonds calculation'!$G$6:$G$40,MATCH(B359,'Bonds calculation'!$A$6:$A$40,0)),0)</f>
        <v/>
      </c>
    </row>
    <row r="360">
      <c r="A360" s="6" t="inlineStr">
        <is>
          <t>2025-07</t>
        </is>
      </c>
      <c r="B360" s="6" t="n">
        <v>2025</v>
      </c>
      <c r="C360" s="27" t="n">
        <v>24768.35</v>
      </c>
      <c r="D360" s="30" t="inlineStr">
        <is>
          <t>2025-07-31</t>
        </is>
      </c>
      <c r="E360" s="27" t="n">
        <v>98068</v>
      </c>
      <c r="F360" s="30" t="inlineStr">
        <is>
          <t>2025-07-31</t>
        </is>
      </c>
      <c r="G360" s="22">
        <f>E360/10*$P$1</f>
        <v/>
      </c>
      <c r="H360" s="26" t="n">
        <v>2.4</v>
      </c>
      <c r="I360" s="16">
        <f>IF(7=INDEX('Bonds calculation'!$L$6:$L$40,MATCH(B360,'Bonds calculation'!$A$6:$A$40,0)),INDEX('Bonds calculation'!$G$6:$G$40,MATCH(B360,'Bonds calculation'!$A$6:$A$40,0)),0)</f>
        <v/>
      </c>
    </row>
    <row r="361">
      <c r="A361" s="6" t="inlineStr">
        <is>
          <t>2025-08</t>
        </is>
      </c>
      <c r="B361" s="6" t="n">
        <v>2025</v>
      </c>
      <c r="C361" s="27" t="n">
        <v>24426.85</v>
      </c>
      <c r="D361" s="30" t="inlineStr">
        <is>
          <t>2025-08-29</t>
        </is>
      </c>
      <c r="E361" s="27" t="n">
        <v>101967</v>
      </c>
      <c r="F361" s="30" t="inlineStr">
        <is>
          <t>2025-08-29</t>
        </is>
      </c>
      <c r="G361" s="22">
        <f>E361/10*$P$1</f>
        <v/>
      </c>
      <c r="H361" s="26" t="n">
        <v>2.4</v>
      </c>
      <c r="I361" s="16">
        <f>IF(8=INDEX('Bonds calculation'!$L$6:$L$40,MATCH(B361,'Bonds calculation'!$A$6:$A$40,0)),INDEX('Bonds calculation'!$G$6:$G$40,MATCH(B361,'Bonds calculation'!$A$6:$A$40,0)),0)</f>
        <v/>
      </c>
    </row>
    <row r="362">
      <c r="A362" s="6" t="inlineStr">
        <is>
          <t>2025-09</t>
        </is>
      </c>
      <c r="B362" s="6" t="n">
        <v>2025</v>
      </c>
      <c r="C362" s="27" t="n">
        <v>24611.1</v>
      </c>
      <c r="D362" s="30" t="inlineStr">
        <is>
          <t>2025-09-30</t>
        </is>
      </c>
      <c r="E362" s="27" t="n">
        <v>114761</v>
      </c>
      <c r="F362" s="30" t="inlineStr">
        <is>
          <t>2025-09-30</t>
        </is>
      </c>
      <c r="G362" s="22">
        <f>E362/10*$P$1</f>
        <v/>
      </c>
      <c r="H362" s="26" t="n">
        <v>2.4</v>
      </c>
      <c r="I362" s="16">
        <f>IF(9=INDEX('Bonds calculation'!$L$6:$L$40,MATCH(B362,'Bonds calculation'!$A$6:$A$40,0)),INDEX('Bonds calculation'!$G$6:$G$40,MATCH(B362,'Bonds calculation'!$A$6:$A$40,0)),0)</f>
        <v/>
      </c>
    </row>
    <row r="363">
      <c r="A363" s="6" t="inlineStr">
        <is>
          <t>2025-10</t>
        </is>
      </c>
      <c r="B363" s="6" t="n">
        <v>2025</v>
      </c>
      <c r="C363" s="27" t="n">
        <v>25722.1</v>
      </c>
      <c r="D363" s="30" t="inlineStr">
        <is>
          <t>2025-10-31</t>
        </is>
      </c>
      <c r="E363" s="27" t="n">
        <v>120450</v>
      </c>
      <c r="F363" s="30" t="inlineStr">
        <is>
          <t>2025-10-31</t>
        </is>
      </c>
      <c r="G363" s="22">
        <f>E363/10*$P$1</f>
        <v/>
      </c>
      <c r="H363" s="26" t="n">
        <v>2.4</v>
      </c>
      <c r="I363" s="16">
        <f>IF(10=INDEX('Bonds calculation'!$L$6:$L$40,MATCH(B363,'Bonds calculation'!$A$6:$A$40,0)),INDEX('Bonds calculation'!$G$6:$G$40,MATCH(B363,'Bonds calculation'!$A$6:$A$40,0)),0)</f>
        <v/>
      </c>
    </row>
    <row r="364">
      <c r="A364" s="6" t="inlineStr">
        <is>
          <t>2025-11</t>
        </is>
      </c>
      <c r="B364" s="6" t="n">
        <v>2025</v>
      </c>
      <c r="C364" s="27" t="n">
        <v>26202.95</v>
      </c>
      <c r="D364" s="30" t="inlineStr">
        <is>
          <t>2025-11-28</t>
        </is>
      </c>
      <c r="E364" s="27" t="n">
        <v>126033</v>
      </c>
      <c r="F364" s="30" t="inlineStr">
        <is>
          <t>2025-11-28</t>
        </is>
      </c>
      <c r="G364" s="22">
        <f>E364/10*$P$1</f>
        <v/>
      </c>
      <c r="H364" s="26" t="n">
        <v>2.4</v>
      </c>
      <c r="I364" s="16">
        <f>IF(11=INDEX('Bonds calculation'!$L$6:$L$40,MATCH(B364,'Bonds calculation'!$A$6:$A$40,0)),INDEX('Bonds calculation'!$G$6:$G$40,MATCH(B364,'Bonds calculation'!$A$6:$A$40,0)),0)</f>
        <v/>
      </c>
    </row>
    <row r="365">
      <c r="A365" s="6" t="inlineStr">
        <is>
          <t>2025-12</t>
        </is>
      </c>
      <c r="B365" s="6" t="n">
        <v>2025</v>
      </c>
      <c r="C365" s="27" t="n">
        <v>26129.6</v>
      </c>
      <c r="D365" s="30" t="inlineStr">
        <is>
          <t>2025-12-31</t>
        </is>
      </c>
      <c r="E365" s="27" t="n">
        <v>132640</v>
      </c>
      <c r="F365" s="30" t="inlineStr">
        <is>
          <t>2025-12-31</t>
        </is>
      </c>
      <c r="G365" s="22">
        <f>E365/10*$P$1</f>
        <v/>
      </c>
      <c r="H365" s="26" t="n">
        <v>2.4</v>
      </c>
      <c r="I365" s="16">
        <f>IF(12=INDEX('Bonds calculation'!$L$6:$L$40,MATCH(B365,'Bonds calculation'!$A$6:$A$40,0)),INDEX('Bonds calculation'!$G$6:$G$40,MATCH(B365,'Bonds calculation'!$A$6:$A$40,0)),0)</f>
        <v/>
      </c>
    </row>
    <row r="366">
      <c r="A366" s="6" t="inlineStr">
        <is>
          <t>2026-01</t>
        </is>
      </c>
      <c r="B366" s="6" t="n">
        <v>2026</v>
      </c>
      <c r="C366" s="27" t="n">
        <v>25320.65</v>
      </c>
      <c r="D366" s="30" t="inlineStr">
        <is>
          <t>2026-01-30</t>
        </is>
      </c>
      <c r="E366" s="27" t="n">
        <v>164389</v>
      </c>
      <c r="F366" s="30" t="inlineStr">
        <is>
          <t>2026-01-30</t>
        </is>
      </c>
      <c r="G366" s="22">
        <f>E366/10*$P$1</f>
        <v/>
      </c>
      <c r="H366" s="19">
        <f>H365</f>
        <v/>
      </c>
      <c r="I366" s="16">
        <f>IF(1=INDEX('Bonds calculation'!$L$6:$L$40,MATCH(B366,'Bonds calculation'!$A$6:$A$40,0)),INDEX('Bonds calculation'!$G$6:$G$40,MATCH(B366,'Bonds calculation'!$A$6:$A$40,0)),0)</f>
        <v/>
      </c>
    </row>
    <row r="367">
      <c r="A367" s="6" t="inlineStr">
        <is>
          <t>2026-02</t>
        </is>
      </c>
      <c r="B367" s="6" t="n">
        <v>2026</v>
      </c>
      <c r="C367" s="27" t="n">
        <v>25178.65</v>
      </c>
      <c r="D367" s="30" t="inlineStr">
        <is>
          <t>2026-02-27</t>
        </is>
      </c>
      <c r="E367" s="27" t="n">
        <v>158585</v>
      </c>
      <c r="F367" s="30" t="inlineStr">
        <is>
          <t>2026-02-27</t>
        </is>
      </c>
      <c r="G367" s="22">
        <f>E367/10*$P$1</f>
        <v/>
      </c>
      <c r="H367" s="19">
        <f>H365</f>
        <v/>
      </c>
      <c r="I367" s="16">
        <f>IF(2=INDEX('Bonds calculation'!$L$6:$L$40,MATCH(B367,'Bonds calculation'!$A$6:$A$40,0)),INDEX('Bonds calculation'!$G$6:$G$40,MATCH(B367,'Bonds calculation'!$A$6:$A$40,0)),0)</f>
        <v/>
      </c>
    </row>
    <row r="368">
      <c r="A368" s="6" t="inlineStr">
        <is>
          <t>2026-03</t>
        </is>
      </c>
      <c r="B368" s="6" t="n">
        <v>2026</v>
      </c>
      <c r="C368" s="27" t="n">
        <v>22331.4</v>
      </c>
      <c r="D368" s="30" t="inlineStr">
        <is>
          <t>2026-03-30</t>
        </is>
      </c>
      <c r="E368" s="27" t="n">
        <v>146126</v>
      </c>
      <c r="F368" s="30" t="inlineStr">
        <is>
          <t>2026-03-30</t>
        </is>
      </c>
      <c r="G368" s="22">
        <f>E368/10*$P$1</f>
        <v/>
      </c>
      <c r="H368" s="19">
        <f>H365</f>
        <v/>
      </c>
      <c r="I368" s="16">
        <f>IF(3=INDEX('Bonds calculation'!$L$6:$L$40,MATCH(B368,'Bonds calculation'!$A$6:$A$40,0)),INDEX('Bonds calculation'!$G$6:$G$40,MATCH(B368,'Bonds calculation'!$A$6:$A$40,0)),0)</f>
        <v/>
      </c>
    </row>
    <row r="369">
      <c r="A369" s="6" t="inlineStr">
        <is>
          <t>2026-04</t>
        </is>
      </c>
      <c r="B369" s="6" t="n">
        <v>2026</v>
      </c>
      <c r="C369" s="27" t="n">
        <v>23997.55</v>
      </c>
      <c r="D369" s="30" t="inlineStr">
        <is>
          <t>2026-04-30</t>
        </is>
      </c>
      <c r="E369" s="27" t="n">
        <v>149777</v>
      </c>
      <c r="F369" s="30" t="inlineStr">
        <is>
          <t>2026-04-30</t>
        </is>
      </c>
      <c r="G369" s="22">
        <f>E369/10*$P$1</f>
        <v/>
      </c>
      <c r="H369" s="19">
        <f>H365</f>
        <v/>
      </c>
      <c r="I369" s="16">
        <f>IF(4=INDEX('Bonds calculation'!$L$6:$L$40,MATCH(B369,'Bonds calculation'!$A$6:$A$40,0)),INDEX('Bonds calculation'!$G$6:$G$40,MATCH(B369,'Bonds calculation'!$A$6:$A$40,0)),0)</f>
        <v/>
      </c>
    </row>
    <row r="370">
      <c r="A370" s="6" t="inlineStr">
        <is>
          <t>2026-05</t>
        </is>
      </c>
      <c r="B370" s="6" t="n">
        <v>2026</v>
      </c>
      <c r="C370" s="27" t="n">
        <v>23547.75</v>
      </c>
      <c r="D370" s="30" t="inlineStr">
        <is>
          <t>2026-05-29</t>
        </is>
      </c>
      <c r="E370" s="27" t="n">
        <v>155964</v>
      </c>
      <c r="F370" s="30" t="inlineStr">
        <is>
          <t>2026-05-29</t>
        </is>
      </c>
      <c r="G370" s="22">
        <f>E370/10*$P$1</f>
        <v/>
      </c>
      <c r="H370" s="19">
        <f>H365</f>
        <v/>
      </c>
      <c r="I370" s="16">
        <f>IF(5=INDEX('Bonds calculation'!$L$6:$L$40,MATCH(B370,'Bonds calculation'!$A$6:$A$40,0)),INDEX('Bonds calculation'!$G$6:$G$40,MATCH(B370,'Bonds calculation'!$A$6:$A$40,0)),0)</f>
        <v/>
      </c>
    </row>
    <row r="371">
      <c r="A371" s="6" t="inlineStr">
        <is>
          <t>2026-06</t>
        </is>
      </c>
      <c r="B371" s="6" t="n">
        <v>2026</v>
      </c>
      <c r="C371" s="27" t="n">
        <v>23865.75</v>
      </c>
      <c r="D371" s="30" t="inlineStr">
        <is>
          <t>2026-06-30</t>
        </is>
      </c>
      <c r="E371" s="27" t="n">
        <v>140864</v>
      </c>
      <c r="F371" s="30" t="inlineStr">
        <is>
          <t>2026-06-30</t>
        </is>
      </c>
      <c r="G371" s="22">
        <f>E371/10*$P$1</f>
        <v/>
      </c>
      <c r="H371" s="19">
        <f>H365</f>
        <v/>
      </c>
      <c r="I371" s="16">
        <f>IF(6=INDEX('Bonds calculation'!$L$6:$L$40,MATCH(B371,'Bonds calculation'!$A$6:$A$40,0)),INDEX('Bonds calculation'!$G$6:$G$40,MATCH(B371,'Bonds calculation'!$A$6:$A$40,0)),0)</f>
        <v/>
      </c>
    </row>
    <row r="372">
      <c r="A372" s="6" t="inlineStr">
        <is>
          <t>2026-07</t>
        </is>
      </c>
      <c r="B372" s="6" t="n">
        <v>2026</v>
      </c>
      <c r="C372" s="27" t="n">
        <v>24383.6</v>
      </c>
      <c r="D372" s="30" t="inlineStr">
        <is>
          <t>2026-07-31</t>
        </is>
      </c>
      <c r="E372" s="27" t="n">
        <v>142295</v>
      </c>
      <c r="F372" s="30" t="inlineStr">
        <is>
          <t>2026-07-31</t>
        </is>
      </c>
      <c r="G372" s="22">
        <f>E372/10*$P$1</f>
        <v/>
      </c>
      <c r="H372" s="19">
        <f>H365</f>
        <v/>
      </c>
      <c r="I372" s="16">
        <f>IF(7=INDEX('Bonds calculation'!$L$6:$L$40,MATCH(B372,'Bonds calculation'!$A$6:$A$40,0)),INDEX('Bonds calculation'!$G$6:$G$40,MATCH(B372,'Bonds calculation'!$A$6:$A$40,0)),0)</f>
        <v/>
      </c>
    </row>
    <row r="373">
      <c r="A373" s="6" t="inlineStr">
        <is>
          <t>2026-08</t>
        </is>
      </c>
      <c r="B373" s="6" t="n">
        <v>2026</v>
      </c>
      <c r="C373" s="27" t="n">
        <v>24080.4</v>
      </c>
      <c r="D373" s="30" t="inlineStr">
        <is>
          <t>2026-08-31</t>
        </is>
      </c>
      <c r="E373" s="27" t="n">
        <v>155114</v>
      </c>
      <c r="F373" s="30" t="inlineStr">
        <is>
          <t>2026-08-31</t>
        </is>
      </c>
      <c r="G373" s="22">
        <f>E373/10*$P$1</f>
        <v/>
      </c>
      <c r="H373" s="19">
        <f>H365</f>
        <v/>
      </c>
      <c r="I373" s="16">
        <f>IF(8=INDEX('Bonds calculation'!$L$6:$L$40,MATCH(B373,'Bonds calculation'!$A$6:$A$40,0)),INDEX('Bonds calculation'!$G$6:$G$40,MATCH(B373,'Bonds calculation'!$A$6:$A$40,0)),0)</f>
        <v/>
      </c>
    </row>
    <row r="374">
      <c r="A374" s="6" t="inlineStr">
        <is>
          <t>2026-09</t>
        </is>
      </c>
      <c r="B374" s="6" t="n">
        <v>2026</v>
      </c>
      <c r="C374" s="27" t="n">
        <v>22620.45</v>
      </c>
      <c r="D374" s="30" t="inlineStr">
        <is>
          <t>2026-09-30</t>
        </is>
      </c>
      <c r="E374" s="27" t="n">
        <v>147613</v>
      </c>
      <c r="F374" s="30" t="inlineStr">
        <is>
          <t>2026-09-30</t>
        </is>
      </c>
      <c r="G374" s="22">
        <f>E374/10*$P$1</f>
        <v/>
      </c>
      <c r="H374" s="19">
        <f>H365</f>
        <v/>
      </c>
      <c r="I374" s="16">
        <f>IF(9=INDEX('Bonds calculation'!$L$6:$L$40,MATCH(B374,'Bonds calculation'!$A$6:$A$40,0)),INDEX('Bonds calculation'!$G$6:$G$40,MATCH(B374,'Bonds calculation'!$A$6:$A$40,0)),0)</f>
        <v/>
      </c>
    </row>
    <row r="376">
      <c r="A376" s="28" t="inlineStr">
        <is>
          <t>2026 inflation repeats the 2025 rate (the API has no 2026 value yet). The Oct-2026 close is not used: the month is not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2026-10-10T06:19:03Z</dcterms:created>
  <dcterms:modified xmlns:dcterms="http://purl.org/dc/terms/" xmlns:xsi="http://www.w3.org/2001/XMLSchema-instance" xsi:type="dcterms:W3CDTF">2026-10-10T06:19:11Z</dcterms:modified>
</cp:coreProperties>
</file>